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filterPrivacy="1" defaultThemeVersion="202300"/>
  <xr:revisionPtr revIDLastSave="0" documentId="13_ncr:1_{40547FD9-AFFE-104C-BB12-BA01E228785E}" xr6:coauthVersionLast="47" xr6:coauthVersionMax="47" xr10:uidLastSave="{00000000-0000-0000-0000-000000000000}"/>
  <bookViews>
    <workbookView xWindow="0" yWindow="600" windowWidth="27900" windowHeight="16100" xr2:uid="{4044A149-EF72-4042-8194-1AEBE97A4C2A}"/>
  </bookViews>
  <sheets>
    <sheet name="入力" sheetId="1" r:id="rId1"/>
  </sheet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U284" i="1" l="1"/>
  <c r="AL283" i="1"/>
  <c r="AK283" i="1"/>
  <c r="AJ283" i="1"/>
  <c r="AI283" i="1"/>
  <c r="AH283" i="1"/>
  <c r="AG283" i="1"/>
  <c r="AF283" i="1"/>
  <c r="AE283" i="1"/>
  <c r="AD283" i="1"/>
  <c r="AC283" i="1"/>
  <c r="AB283" i="1"/>
  <c r="Z283" i="1"/>
  <c r="X283" i="1"/>
  <c r="O283" i="1"/>
  <c r="AL282" i="1"/>
  <c r="AK282" i="1"/>
  <c r="AJ282" i="1"/>
  <c r="AI282" i="1"/>
  <c r="AH282" i="1"/>
  <c r="AG282" i="1"/>
  <c r="AF282" i="1"/>
  <c r="AE282" i="1"/>
  <c r="AD282" i="1"/>
  <c r="AC282" i="1"/>
  <c r="AB282" i="1"/>
  <c r="Z282" i="1"/>
  <c r="X282" i="1"/>
  <c r="O282" i="1"/>
  <c r="AL281" i="1"/>
  <c r="AK281" i="1"/>
  <c r="AJ281" i="1"/>
  <c r="AI281" i="1"/>
  <c r="AH281" i="1"/>
  <c r="AG281" i="1"/>
  <c r="AF281" i="1"/>
  <c r="AE281" i="1"/>
  <c r="AD281" i="1"/>
  <c r="AC281" i="1"/>
  <c r="AB281" i="1"/>
  <c r="Z281" i="1"/>
  <c r="X281" i="1"/>
  <c r="O281" i="1"/>
  <c r="AL280" i="1"/>
  <c r="AK280" i="1"/>
  <c r="AJ280" i="1"/>
  <c r="AI280" i="1"/>
  <c r="AH280" i="1"/>
  <c r="AG280" i="1"/>
  <c r="AF280" i="1"/>
  <c r="AE280" i="1"/>
  <c r="AD280" i="1"/>
  <c r="AC280" i="1"/>
  <c r="AB280" i="1"/>
  <c r="Z280" i="1"/>
  <c r="X280" i="1"/>
  <c r="O280" i="1"/>
  <c r="AL279" i="1"/>
  <c r="AK279" i="1"/>
  <c r="AJ279" i="1"/>
  <c r="AI279" i="1"/>
  <c r="AH279" i="1"/>
  <c r="AG279" i="1"/>
  <c r="AF279" i="1"/>
  <c r="AE279" i="1"/>
  <c r="AD279" i="1"/>
  <c r="AC279" i="1"/>
  <c r="AB279" i="1"/>
  <c r="Z279" i="1"/>
  <c r="X279" i="1"/>
  <c r="O279" i="1"/>
  <c r="AL278" i="1"/>
  <c r="AK278" i="1"/>
  <c r="AJ278" i="1"/>
  <c r="AI278" i="1"/>
  <c r="AH278" i="1"/>
  <c r="AG278" i="1"/>
  <c r="AF278" i="1"/>
  <c r="AE278" i="1"/>
  <c r="AD278" i="1"/>
  <c r="AC278" i="1"/>
  <c r="AB278" i="1"/>
  <c r="Z278" i="1"/>
  <c r="X278" i="1"/>
  <c r="O278" i="1"/>
  <c r="AL277" i="1"/>
  <c r="AK277" i="1"/>
  <c r="AJ277" i="1"/>
  <c r="AI277" i="1"/>
  <c r="AH277" i="1"/>
  <c r="AG277" i="1"/>
  <c r="AF277" i="1"/>
  <c r="AE277" i="1"/>
  <c r="AD277" i="1"/>
  <c r="AC277" i="1"/>
  <c r="AB277" i="1"/>
  <c r="Z277" i="1"/>
  <c r="X277" i="1"/>
  <c r="O277" i="1"/>
  <c r="AL276" i="1"/>
  <c r="AK276" i="1"/>
  <c r="AJ276" i="1"/>
  <c r="AI276" i="1"/>
  <c r="AH276" i="1"/>
  <c r="AG276" i="1"/>
  <c r="AF276" i="1"/>
  <c r="AE276" i="1"/>
  <c r="AD276" i="1"/>
  <c r="AC276" i="1"/>
  <c r="AB276" i="1"/>
  <c r="Z276" i="1"/>
  <c r="X276" i="1"/>
  <c r="O276" i="1"/>
  <c r="AL275" i="1"/>
  <c r="AK275" i="1"/>
  <c r="AJ275" i="1"/>
  <c r="AI275" i="1"/>
  <c r="AH275" i="1"/>
  <c r="AG275" i="1"/>
  <c r="AF275" i="1"/>
  <c r="AE275" i="1"/>
  <c r="AD275" i="1"/>
  <c r="AC275" i="1"/>
  <c r="AB275" i="1"/>
  <c r="Z275" i="1"/>
  <c r="X275" i="1"/>
  <c r="O275" i="1"/>
  <c r="AL274" i="1"/>
  <c r="AK274" i="1"/>
  <c r="AJ274" i="1"/>
  <c r="AI274" i="1"/>
  <c r="AH274" i="1"/>
  <c r="AG274" i="1"/>
  <c r="AF274" i="1"/>
  <c r="AE274" i="1"/>
  <c r="AD274" i="1"/>
  <c r="AC274" i="1"/>
  <c r="AB274" i="1"/>
  <c r="Z274" i="1"/>
  <c r="X274" i="1"/>
  <c r="O274" i="1"/>
  <c r="AL273" i="1"/>
  <c r="AK273" i="1"/>
  <c r="AJ273" i="1"/>
  <c r="AI273" i="1"/>
  <c r="AH273" i="1"/>
  <c r="AG273" i="1"/>
  <c r="AF273" i="1"/>
  <c r="AE273" i="1"/>
  <c r="AD273" i="1"/>
  <c r="AC273" i="1"/>
  <c r="X273" i="1" s="1"/>
  <c r="AB273" i="1"/>
  <c r="Z273" i="1"/>
  <c r="O273" i="1"/>
  <c r="AL272" i="1"/>
  <c r="AK272" i="1"/>
  <c r="AJ272" i="1"/>
  <c r="AI272" i="1"/>
  <c r="AH272" i="1"/>
  <c r="AG272" i="1"/>
  <c r="AF272" i="1"/>
  <c r="AE272" i="1"/>
  <c r="AD272" i="1"/>
  <c r="AC272" i="1"/>
  <c r="X272" i="1" s="1"/>
  <c r="AB272" i="1"/>
  <c r="Z272" i="1"/>
  <c r="O272" i="1"/>
  <c r="AL271" i="1"/>
  <c r="AK271" i="1"/>
  <c r="AJ271" i="1"/>
  <c r="AI271" i="1"/>
  <c r="AH271" i="1"/>
  <c r="AG271" i="1"/>
  <c r="AF271" i="1"/>
  <c r="AE271" i="1"/>
  <c r="AD271" i="1"/>
  <c r="AC271" i="1"/>
  <c r="X271" i="1" s="1"/>
  <c r="AB271" i="1"/>
  <c r="Z271" i="1"/>
  <c r="O271" i="1"/>
  <c r="AL270" i="1"/>
  <c r="AK270" i="1"/>
  <c r="AJ270" i="1"/>
  <c r="AI270" i="1"/>
  <c r="AH270" i="1"/>
  <c r="AG270" i="1"/>
  <c r="AF270" i="1"/>
  <c r="AE270" i="1"/>
  <c r="AD270" i="1"/>
  <c r="AC270" i="1"/>
  <c r="AB270" i="1"/>
  <c r="Z270" i="1"/>
  <c r="X270" i="1"/>
  <c r="O270" i="1"/>
  <c r="AL269" i="1"/>
  <c r="AK269" i="1"/>
  <c r="AJ269" i="1"/>
  <c r="AI269" i="1"/>
  <c r="AH269" i="1"/>
  <c r="AG269" i="1"/>
  <c r="AF269" i="1"/>
  <c r="AE269" i="1"/>
  <c r="AD269" i="1"/>
  <c r="AC269" i="1"/>
  <c r="X269" i="1" s="1"/>
  <c r="AB269" i="1"/>
  <c r="Z269" i="1"/>
  <c r="O269" i="1"/>
  <c r="AL268" i="1"/>
  <c r="AK268" i="1"/>
  <c r="AJ268" i="1"/>
  <c r="AI268" i="1"/>
  <c r="AH268" i="1"/>
  <c r="AG268" i="1"/>
  <c r="AF268" i="1"/>
  <c r="AE268" i="1"/>
  <c r="AD268" i="1"/>
  <c r="AC268" i="1"/>
  <c r="X268" i="1" s="1"/>
  <c r="AB268" i="1"/>
  <c r="Z268" i="1"/>
  <c r="O268" i="1"/>
  <c r="AL267" i="1"/>
  <c r="AK267" i="1"/>
  <c r="AJ267" i="1"/>
  <c r="AI267" i="1"/>
  <c r="AH267" i="1"/>
  <c r="AG267" i="1"/>
  <c r="AF267" i="1"/>
  <c r="AE267" i="1"/>
  <c r="AD267" i="1"/>
  <c r="AC267" i="1"/>
  <c r="X267" i="1" s="1"/>
  <c r="AB267" i="1"/>
  <c r="Z267" i="1"/>
  <c r="O267" i="1"/>
  <c r="AL266" i="1"/>
  <c r="AK266" i="1"/>
  <c r="AJ266" i="1"/>
  <c r="AI266" i="1"/>
  <c r="AH266" i="1"/>
  <c r="AG266" i="1"/>
  <c r="AF266" i="1"/>
  <c r="AE266" i="1"/>
  <c r="AD266" i="1"/>
  <c r="AC266" i="1"/>
  <c r="X266" i="1" s="1"/>
  <c r="K15" i="1" s="1"/>
  <c r="AB266" i="1"/>
  <c r="Z266" i="1"/>
  <c r="O266" i="1"/>
  <c r="AU265" i="1"/>
  <c r="AL265" i="1"/>
  <c r="AK265" i="1"/>
  <c r="AJ265" i="1"/>
  <c r="AI265" i="1"/>
  <c r="AH265" i="1"/>
  <c r="AG265" i="1"/>
  <c r="AF265" i="1"/>
  <c r="AE265" i="1"/>
  <c r="AD265" i="1"/>
  <c r="AC265" i="1"/>
  <c r="X265" i="1" s="1"/>
  <c r="AB265" i="1"/>
  <c r="AM265" i="1" s="1"/>
  <c r="Z265" i="1"/>
  <c r="O265" i="1"/>
  <c r="AU264" i="1"/>
  <c r="AL264" i="1"/>
  <c r="AK264" i="1"/>
  <c r="AJ264" i="1"/>
  <c r="AI264" i="1"/>
  <c r="AH264" i="1"/>
  <c r="AG264" i="1"/>
  <c r="AF264" i="1"/>
  <c r="AE264" i="1"/>
  <c r="AD264" i="1"/>
  <c r="AC264" i="1"/>
  <c r="X264" i="1" s="1"/>
  <c r="AB264" i="1"/>
  <c r="AM264" i="1" s="1"/>
  <c r="Z264" i="1"/>
  <c r="O264" i="1"/>
  <c r="AU263" i="1"/>
  <c r="AL263" i="1"/>
  <c r="AK263" i="1"/>
  <c r="AJ263" i="1"/>
  <c r="AI263" i="1"/>
  <c r="AH263" i="1"/>
  <c r="AG263" i="1"/>
  <c r="AF263" i="1"/>
  <c r="AE263" i="1"/>
  <c r="AD263" i="1"/>
  <c r="AC263" i="1"/>
  <c r="X263" i="1" s="1"/>
  <c r="AB263" i="1"/>
  <c r="AM263" i="1" s="1"/>
  <c r="Z263" i="1"/>
  <c r="O263" i="1"/>
  <c r="AU262" i="1"/>
  <c r="AL262" i="1"/>
  <c r="AK262" i="1"/>
  <c r="AJ262" i="1"/>
  <c r="AI262" i="1"/>
  <c r="AH262" i="1"/>
  <c r="AG262" i="1"/>
  <c r="AF262" i="1"/>
  <c r="AE262" i="1"/>
  <c r="AD262" i="1"/>
  <c r="AC262" i="1"/>
  <c r="X262" i="1" s="1"/>
  <c r="AB262" i="1"/>
  <c r="AM262" i="1" s="1"/>
  <c r="Z262" i="1"/>
  <c r="O262" i="1"/>
  <c r="AU261" i="1"/>
  <c r="AL261" i="1"/>
  <c r="AK261" i="1"/>
  <c r="AJ261" i="1"/>
  <c r="AI261" i="1"/>
  <c r="AH261" i="1"/>
  <c r="AG261" i="1"/>
  <c r="AF261" i="1"/>
  <c r="AE261" i="1"/>
  <c r="AD261" i="1"/>
  <c r="AC261" i="1"/>
  <c r="X261" i="1" s="1"/>
  <c r="AB261" i="1"/>
  <c r="AM261" i="1" s="1"/>
  <c r="Z261" i="1"/>
  <c r="O261" i="1"/>
  <c r="AU260" i="1"/>
  <c r="AL260" i="1"/>
  <c r="AK260" i="1"/>
  <c r="AJ260" i="1"/>
  <c r="AI260" i="1"/>
  <c r="AH260" i="1"/>
  <c r="AG260" i="1"/>
  <c r="AF260" i="1"/>
  <c r="AE260" i="1"/>
  <c r="AD260" i="1"/>
  <c r="AC260" i="1"/>
  <c r="AB260" i="1"/>
  <c r="AM260" i="1" s="1"/>
  <c r="Z260" i="1"/>
  <c r="X260" i="1"/>
  <c r="O260" i="1"/>
  <c r="AU259" i="1"/>
  <c r="AL259" i="1"/>
  <c r="AK259" i="1"/>
  <c r="AJ259" i="1"/>
  <c r="AI259" i="1"/>
  <c r="AH259" i="1"/>
  <c r="AG259" i="1"/>
  <c r="AF259" i="1"/>
  <c r="AE259" i="1"/>
  <c r="AD259" i="1"/>
  <c r="AC259" i="1"/>
  <c r="AB259" i="1"/>
  <c r="AM259" i="1" s="1"/>
  <c r="Z259" i="1"/>
  <c r="X259" i="1"/>
  <c r="O259" i="1"/>
  <c r="AU258" i="1"/>
  <c r="AL258" i="1"/>
  <c r="AK258" i="1"/>
  <c r="AJ258" i="1"/>
  <c r="AI258" i="1"/>
  <c r="AH258" i="1"/>
  <c r="AG258" i="1"/>
  <c r="AF258" i="1"/>
  <c r="AE258" i="1"/>
  <c r="AD258" i="1"/>
  <c r="AC258" i="1"/>
  <c r="AB258" i="1"/>
  <c r="AM258" i="1" s="1"/>
  <c r="Z258" i="1"/>
  <c r="X258" i="1"/>
  <c r="O258" i="1"/>
  <c r="AU257" i="1"/>
  <c r="AL257" i="1"/>
  <c r="AK257" i="1"/>
  <c r="AJ257" i="1"/>
  <c r="AI257" i="1"/>
  <c r="AH257" i="1"/>
  <c r="AG257" i="1"/>
  <c r="AF257" i="1"/>
  <c r="AE257" i="1"/>
  <c r="AD257" i="1"/>
  <c r="AC257" i="1"/>
  <c r="X257" i="1" s="1"/>
  <c r="AB257" i="1"/>
  <c r="AM257" i="1" s="1"/>
  <c r="Z257" i="1"/>
  <c r="O257" i="1"/>
  <c r="AU256" i="1"/>
  <c r="AL256" i="1"/>
  <c r="AK256" i="1"/>
  <c r="AJ256" i="1"/>
  <c r="AI256" i="1"/>
  <c r="AH256" i="1"/>
  <c r="AG256" i="1"/>
  <c r="AF256" i="1"/>
  <c r="AE256" i="1"/>
  <c r="AD256" i="1"/>
  <c r="AC256" i="1"/>
  <c r="X256" i="1" s="1"/>
  <c r="AB256" i="1"/>
  <c r="AM256" i="1" s="1"/>
  <c r="Z256" i="1"/>
  <c r="O256" i="1"/>
  <c r="AU255" i="1"/>
  <c r="AL255" i="1"/>
  <c r="AK255" i="1"/>
  <c r="AJ255" i="1"/>
  <c r="AI255" i="1"/>
  <c r="AH255" i="1"/>
  <c r="AG255" i="1"/>
  <c r="AF255" i="1"/>
  <c r="AE255" i="1"/>
  <c r="AD255" i="1"/>
  <c r="AC255" i="1"/>
  <c r="AB255" i="1"/>
  <c r="AM255" i="1" s="1"/>
  <c r="Z255" i="1"/>
  <c r="X255" i="1"/>
  <c r="O255" i="1"/>
  <c r="AU254" i="1"/>
  <c r="AL254" i="1"/>
  <c r="AK254" i="1"/>
  <c r="AJ254" i="1"/>
  <c r="AI254" i="1"/>
  <c r="AH254" i="1"/>
  <c r="AG254" i="1"/>
  <c r="AF254" i="1"/>
  <c r="AE254" i="1"/>
  <c r="AD254" i="1"/>
  <c r="AC254" i="1"/>
  <c r="AB254" i="1"/>
  <c r="AM254" i="1" s="1"/>
  <c r="Z254" i="1"/>
  <c r="X254" i="1"/>
  <c r="O254" i="1"/>
  <c r="AU253" i="1"/>
  <c r="AL253" i="1"/>
  <c r="AK253" i="1"/>
  <c r="AJ253" i="1"/>
  <c r="AI253" i="1"/>
  <c r="AH253" i="1"/>
  <c r="AG253" i="1"/>
  <c r="AF253" i="1"/>
  <c r="AE253" i="1"/>
  <c r="AD253" i="1"/>
  <c r="AC253" i="1"/>
  <c r="X253" i="1" s="1"/>
  <c r="K14" i="1" s="1"/>
  <c r="AB253" i="1"/>
  <c r="AM253" i="1" s="1"/>
  <c r="Z253" i="1"/>
  <c r="O253" i="1"/>
  <c r="AL252" i="1"/>
  <c r="AK252" i="1"/>
  <c r="AJ252" i="1"/>
  <c r="AI252" i="1"/>
  <c r="AH252" i="1"/>
  <c r="AG252" i="1"/>
  <c r="AF252" i="1"/>
  <c r="AE252" i="1"/>
  <c r="AD252" i="1"/>
  <c r="AC252" i="1"/>
  <c r="X252" i="1" s="1"/>
  <c r="AB252" i="1"/>
  <c r="Z252" i="1"/>
  <c r="O252" i="1"/>
  <c r="AL251" i="1"/>
  <c r="AK251" i="1"/>
  <c r="AJ251" i="1"/>
  <c r="AI251" i="1"/>
  <c r="AH251" i="1"/>
  <c r="AG251" i="1"/>
  <c r="AF251" i="1"/>
  <c r="AE251" i="1"/>
  <c r="AD251" i="1"/>
  <c r="AC251" i="1"/>
  <c r="X251" i="1" s="1"/>
  <c r="AB251" i="1"/>
  <c r="Z251" i="1"/>
  <c r="O251" i="1"/>
  <c r="AL250" i="1"/>
  <c r="AK250" i="1"/>
  <c r="AJ250" i="1"/>
  <c r="AI250" i="1"/>
  <c r="AH250" i="1"/>
  <c r="AG250" i="1"/>
  <c r="AF250" i="1"/>
  <c r="AE250" i="1"/>
  <c r="AD250" i="1"/>
  <c r="AC250" i="1"/>
  <c r="X250" i="1" s="1"/>
  <c r="AB250" i="1"/>
  <c r="Z250" i="1"/>
  <c r="O250" i="1"/>
  <c r="AL249" i="1"/>
  <c r="AK249" i="1"/>
  <c r="AJ249" i="1"/>
  <c r="AI249" i="1"/>
  <c r="AH249" i="1"/>
  <c r="AG249" i="1"/>
  <c r="AF249" i="1"/>
  <c r="AE249" i="1"/>
  <c r="AD249" i="1"/>
  <c r="AC249" i="1"/>
  <c r="X249" i="1" s="1"/>
  <c r="AB249" i="1"/>
  <c r="Z249" i="1"/>
  <c r="O249" i="1"/>
  <c r="AL248" i="1"/>
  <c r="AK248" i="1"/>
  <c r="AJ248" i="1"/>
  <c r="AI248" i="1"/>
  <c r="AH248" i="1"/>
  <c r="AG248" i="1"/>
  <c r="AF248" i="1"/>
  <c r="AE248" i="1"/>
  <c r="AD248" i="1"/>
  <c r="AC248" i="1"/>
  <c r="X248" i="1" s="1"/>
  <c r="AB248" i="1"/>
  <c r="Z248" i="1"/>
  <c r="O248" i="1"/>
  <c r="AL247" i="1"/>
  <c r="AK247" i="1"/>
  <c r="AJ247" i="1"/>
  <c r="AI247" i="1"/>
  <c r="AH247" i="1"/>
  <c r="AG247" i="1"/>
  <c r="AF247" i="1"/>
  <c r="AE247" i="1"/>
  <c r="AD247" i="1"/>
  <c r="AC247" i="1"/>
  <c r="X247" i="1" s="1"/>
  <c r="AB247" i="1"/>
  <c r="O247" i="1"/>
  <c r="AL246" i="1"/>
  <c r="AK246" i="1"/>
  <c r="AJ246" i="1"/>
  <c r="AI246" i="1"/>
  <c r="AH246" i="1"/>
  <c r="AG246" i="1"/>
  <c r="AF246" i="1"/>
  <c r="AE246" i="1"/>
  <c r="AD246" i="1"/>
  <c r="AC246" i="1"/>
  <c r="X246" i="1" s="1"/>
  <c r="AB246" i="1"/>
  <c r="Z246" i="1"/>
  <c r="O246" i="1"/>
  <c r="AL245" i="1"/>
  <c r="AK245" i="1"/>
  <c r="AJ245" i="1"/>
  <c r="AI245" i="1"/>
  <c r="AH245" i="1"/>
  <c r="AG245" i="1"/>
  <c r="AF245" i="1"/>
  <c r="AE245" i="1"/>
  <c r="AD245" i="1"/>
  <c r="AC245" i="1"/>
  <c r="X245" i="1" s="1"/>
  <c r="AB245" i="1"/>
  <c r="Z245" i="1"/>
  <c r="O245" i="1"/>
  <c r="AL244" i="1"/>
  <c r="AK244" i="1"/>
  <c r="AJ244" i="1"/>
  <c r="AI244" i="1"/>
  <c r="AH244" i="1"/>
  <c r="AG244" i="1"/>
  <c r="AF244" i="1"/>
  <c r="AE244" i="1"/>
  <c r="AD244" i="1"/>
  <c r="AC244" i="1"/>
  <c r="X244" i="1" s="1"/>
  <c r="AB244" i="1"/>
  <c r="Z244" i="1"/>
  <c r="O244" i="1"/>
  <c r="AL243" i="1"/>
  <c r="AK243" i="1"/>
  <c r="AJ243" i="1"/>
  <c r="AI243" i="1"/>
  <c r="AH243" i="1"/>
  <c r="AG243" i="1"/>
  <c r="AF243" i="1"/>
  <c r="AE243" i="1"/>
  <c r="AD243" i="1"/>
  <c r="AC243" i="1"/>
  <c r="AB243" i="1"/>
  <c r="Z243" i="1"/>
  <c r="X243" i="1"/>
  <c r="O243" i="1"/>
  <c r="AL242" i="1"/>
  <c r="AK242" i="1"/>
  <c r="AJ242" i="1"/>
  <c r="AI242" i="1"/>
  <c r="AH242" i="1"/>
  <c r="AG242" i="1"/>
  <c r="AF242" i="1"/>
  <c r="AE242" i="1"/>
  <c r="AD242" i="1"/>
  <c r="AC242" i="1"/>
  <c r="X242" i="1" s="1"/>
  <c r="AB242" i="1"/>
  <c r="Z242" i="1"/>
  <c r="O242" i="1"/>
  <c r="AL241" i="1"/>
  <c r="AK241" i="1"/>
  <c r="AJ241" i="1"/>
  <c r="AI241" i="1"/>
  <c r="AH241" i="1"/>
  <c r="AG241" i="1"/>
  <c r="AF241" i="1"/>
  <c r="AE241" i="1"/>
  <c r="AD241" i="1"/>
  <c r="AC241" i="1"/>
  <c r="AB241" i="1"/>
  <c r="Z241" i="1"/>
  <c r="X241" i="1"/>
  <c r="O241" i="1"/>
  <c r="AL240" i="1"/>
  <c r="AK240" i="1"/>
  <c r="AJ240" i="1"/>
  <c r="AI240" i="1"/>
  <c r="AH240" i="1"/>
  <c r="AG240" i="1"/>
  <c r="AF240" i="1"/>
  <c r="AE240" i="1"/>
  <c r="AD240" i="1"/>
  <c r="AC240" i="1"/>
  <c r="X240" i="1" s="1"/>
  <c r="AB240" i="1"/>
  <c r="Z240" i="1"/>
  <c r="O240" i="1"/>
  <c r="AL239" i="1"/>
  <c r="AK239" i="1"/>
  <c r="AJ239" i="1"/>
  <c r="AI239" i="1"/>
  <c r="AH239" i="1"/>
  <c r="AG239" i="1"/>
  <c r="AF239" i="1"/>
  <c r="AE239" i="1"/>
  <c r="AD239" i="1"/>
  <c r="AC239" i="1"/>
  <c r="X239" i="1" s="1"/>
  <c r="AB239" i="1"/>
  <c r="Z239" i="1"/>
  <c r="O239" i="1"/>
  <c r="AL238" i="1"/>
  <c r="AK238" i="1"/>
  <c r="AJ238" i="1"/>
  <c r="AI238" i="1"/>
  <c r="AH238" i="1"/>
  <c r="AG238" i="1"/>
  <c r="AF238" i="1"/>
  <c r="AE238" i="1"/>
  <c r="AD238" i="1"/>
  <c r="AC238" i="1"/>
  <c r="X238" i="1" s="1"/>
  <c r="AB238" i="1"/>
  <c r="Z238" i="1"/>
  <c r="O238" i="1"/>
  <c r="AL237" i="1"/>
  <c r="AK237" i="1"/>
  <c r="AJ237" i="1"/>
  <c r="AI237" i="1"/>
  <c r="AH237" i="1"/>
  <c r="AG237" i="1"/>
  <c r="AF237" i="1"/>
  <c r="AE237" i="1"/>
  <c r="AD237" i="1"/>
  <c r="AC237" i="1"/>
  <c r="X237" i="1" s="1"/>
  <c r="AB237" i="1"/>
  <c r="Z237" i="1"/>
  <c r="O237" i="1"/>
  <c r="AL236" i="1"/>
  <c r="AK236" i="1"/>
  <c r="AJ236" i="1"/>
  <c r="AI236" i="1"/>
  <c r="AH236" i="1"/>
  <c r="AG236" i="1"/>
  <c r="AF236" i="1"/>
  <c r="AE236" i="1"/>
  <c r="AD236" i="1"/>
  <c r="AC236" i="1"/>
  <c r="X236" i="1" s="1"/>
  <c r="AB236" i="1"/>
  <c r="Z236" i="1"/>
  <c r="O236" i="1"/>
  <c r="AL235" i="1"/>
  <c r="AK235" i="1"/>
  <c r="AJ235" i="1"/>
  <c r="AI235" i="1"/>
  <c r="AH235" i="1"/>
  <c r="AG235" i="1"/>
  <c r="AF235" i="1"/>
  <c r="AE235" i="1"/>
  <c r="AD235" i="1"/>
  <c r="AC235" i="1"/>
  <c r="AB235" i="1"/>
  <c r="Z235" i="1"/>
  <c r="X235" i="1"/>
  <c r="O235" i="1"/>
  <c r="AL234" i="1"/>
  <c r="AK234" i="1"/>
  <c r="AJ234" i="1"/>
  <c r="AI234" i="1"/>
  <c r="AH234" i="1"/>
  <c r="AG234" i="1"/>
  <c r="AF234" i="1"/>
  <c r="AE234" i="1"/>
  <c r="AD234" i="1"/>
  <c r="AC234" i="1"/>
  <c r="X234" i="1" s="1"/>
  <c r="AB234" i="1"/>
  <c r="Z234" i="1"/>
  <c r="O234" i="1"/>
  <c r="AL233" i="1"/>
  <c r="AK233" i="1"/>
  <c r="AJ233" i="1"/>
  <c r="AI233" i="1"/>
  <c r="AH233" i="1"/>
  <c r="AG233" i="1"/>
  <c r="AF233" i="1"/>
  <c r="AE233" i="1"/>
  <c r="AD233" i="1"/>
  <c r="AC233" i="1"/>
  <c r="X233" i="1" s="1"/>
  <c r="AB233" i="1"/>
  <c r="Z233" i="1"/>
  <c r="O233" i="1"/>
  <c r="AL232" i="1"/>
  <c r="AK232" i="1"/>
  <c r="AJ232" i="1"/>
  <c r="AI232" i="1"/>
  <c r="AH232" i="1"/>
  <c r="AG232" i="1"/>
  <c r="AF232" i="1"/>
  <c r="AE232" i="1"/>
  <c r="AD232" i="1"/>
  <c r="AC232" i="1"/>
  <c r="X232" i="1" s="1"/>
  <c r="AB232" i="1"/>
  <c r="Z232" i="1"/>
  <c r="O232" i="1"/>
  <c r="AL231" i="1"/>
  <c r="AK231" i="1"/>
  <c r="AJ231" i="1"/>
  <c r="AI231" i="1"/>
  <c r="AH231" i="1"/>
  <c r="AG231" i="1"/>
  <c r="AF231" i="1"/>
  <c r="AE231" i="1"/>
  <c r="AD231" i="1"/>
  <c r="AC231" i="1"/>
  <c r="AB231" i="1"/>
  <c r="X231" i="1"/>
  <c r="O231" i="1"/>
  <c r="AL230" i="1"/>
  <c r="AK230" i="1"/>
  <c r="AJ230" i="1"/>
  <c r="AI230" i="1"/>
  <c r="AH230" i="1"/>
  <c r="AG230" i="1"/>
  <c r="AF230" i="1"/>
  <c r="AE230" i="1"/>
  <c r="AD230" i="1"/>
  <c r="AC230" i="1"/>
  <c r="AB230" i="1"/>
  <c r="Z230" i="1"/>
  <c r="X230" i="1"/>
  <c r="O230" i="1"/>
  <c r="AL229" i="1"/>
  <c r="AK229" i="1"/>
  <c r="AJ229" i="1"/>
  <c r="AI229" i="1"/>
  <c r="AH229" i="1"/>
  <c r="AG229" i="1"/>
  <c r="AF229" i="1"/>
  <c r="AE229" i="1"/>
  <c r="AD229" i="1"/>
  <c r="AC229" i="1"/>
  <c r="AB229" i="1"/>
  <c r="Z229" i="1"/>
  <c r="X229" i="1"/>
  <c r="K13" i="1" s="1"/>
  <c r="O229" i="1"/>
  <c r="AL228" i="1"/>
  <c r="AK228" i="1"/>
  <c r="AJ228" i="1"/>
  <c r="AI228" i="1"/>
  <c r="AH228" i="1"/>
  <c r="AG228" i="1"/>
  <c r="AF228" i="1"/>
  <c r="AE228" i="1"/>
  <c r="AD228" i="1"/>
  <c r="AC228" i="1"/>
  <c r="AB228" i="1"/>
  <c r="Z228" i="1"/>
  <c r="X228" i="1"/>
  <c r="O228" i="1"/>
  <c r="AL227" i="1"/>
  <c r="AK227" i="1"/>
  <c r="AJ227" i="1"/>
  <c r="AI227" i="1"/>
  <c r="AH227" i="1"/>
  <c r="AG227" i="1"/>
  <c r="AF227" i="1"/>
  <c r="AE227" i="1"/>
  <c r="AD227" i="1"/>
  <c r="AC227" i="1"/>
  <c r="X227" i="1" s="1"/>
  <c r="AB227" i="1"/>
  <c r="Z227" i="1"/>
  <c r="O227" i="1"/>
  <c r="AL226" i="1"/>
  <c r="AK226" i="1"/>
  <c r="AJ226" i="1"/>
  <c r="AI226" i="1"/>
  <c r="AH226" i="1"/>
  <c r="AG226" i="1"/>
  <c r="AF226" i="1"/>
  <c r="AE226" i="1"/>
  <c r="AD226" i="1"/>
  <c r="AC226" i="1"/>
  <c r="AB226" i="1"/>
  <c r="Z226" i="1"/>
  <c r="X226" i="1"/>
  <c r="O226" i="1"/>
  <c r="AL225" i="1"/>
  <c r="AK225" i="1"/>
  <c r="AJ225" i="1"/>
  <c r="AI225" i="1"/>
  <c r="AH225" i="1"/>
  <c r="AG225" i="1"/>
  <c r="AF225" i="1"/>
  <c r="AE225" i="1"/>
  <c r="AD225" i="1"/>
  <c r="AC225" i="1"/>
  <c r="AB225" i="1"/>
  <c r="Z225" i="1"/>
  <c r="X225" i="1"/>
  <c r="O225" i="1"/>
  <c r="AL224" i="1"/>
  <c r="AK224" i="1"/>
  <c r="AJ224" i="1"/>
  <c r="AI224" i="1"/>
  <c r="AH224" i="1"/>
  <c r="AG224" i="1"/>
  <c r="AF224" i="1"/>
  <c r="AE224" i="1"/>
  <c r="AD224" i="1"/>
  <c r="AC224" i="1"/>
  <c r="X224" i="1" s="1"/>
  <c r="AB224" i="1"/>
  <c r="Z224" i="1"/>
  <c r="O224" i="1"/>
  <c r="AL223" i="1"/>
  <c r="AK223" i="1"/>
  <c r="AJ223" i="1"/>
  <c r="AI223" i="1"/>
  <c r="AH223" i="1"/>
  <c r="AG223" i="1"/>
  <c r="AF223" i="1"/>
  <c r="AE223" i="1"/>
  <c r="AD223" i="1"/>
  <c r="AC223" i="1"/>
  <c r="AB223" i="1"/>
  <c r="Z223" i="1"/>
  <c r="X223" i="1"/>
  <c r="O223" i="1"/>
  <c r="AL222" i="1"/>
  <c r="AK222" i="1"/>
  <c r="AJ222" i="1"/>
  <c r="AI222" i="1"/>
  <c r="AH222" i="1"/>
  <c r="AG222" i="1"/>
  <c r="AF222" i="1"/>
  <c r="AE222" i="1"/>
  <c r="AD222" i="1"/>
  <c r="AC222" i="1"/>
  <c r="X222" i="1" s="1"/>
  <c r="AB222" i="1"/>
  <c r="Z222" i="1"/>
  <c r="O222" i="1"/>
  <c r="AL221" i="1"/>
  <c r="AK221" i="1"/>
  <c r="AJ221" i="1"/>
  <c r="AI221" i="1"/>
  <c r="AH221" i="1"/>
  <c r="AG221" i="1"/>
  <c r="AF221" i="1"/>
  <c r="AE221" i="1"/>
  <c r="AD221" i="1"/>
  <c r="AC221" i="1"/>
  <c r="AB221" i="1"/>
  <c r="X221" i="1"/>
  <c r="O221" i="1"/>
  <c r="AL220" i="1"/>
  <c r="AK220" i="1"/>
  <c r="AJ220" i="1"/>
  <c r="AI220" i="1"/>
  <c r="AH220" i="1"/>
  <c r="AG220" i="1"/>
  <c r="AF220" i="1"/>
  <c r="AE220" i="1"/>
  <c r="AD220" i="1"/>
  <c r="AC220" i="1"/>
  <c r="AB220" i="1"/>
  <c r="Z220" i="1"/>
  <c r="X220" i="1"/>
  <c r="O220" i="1"/>
  <c r="AL219" i="1"/>
  <c r="AK219" i="1"/>
  <c r="AJ219" i="1"/>
  <c r="AI219" i="1"/>
  <c r="AH219" i="1"/>
  <c r="AG219" i="1"/>
  <c r="AF219" i="1"/>
  <c r="AE219" i="1"/>
  <c r="AD219" i="1"/>
  <c r="AC219" i="1"/>
  <c r="X219" i="1" s="1"/>
  <c r="AB219" i="1"/>
  <c r="Z219" i="1"/>
  <c r="O219" i="1"/>
  <c r="AL218" i="1"/>
  <c r="AK218" i="1"/>
  <c r="AJ218" i="1"/>
  <c r="AI218" i="1"/>
  <c r="AH218" i="1"/>
  <c r="AG218" i="1"/>
  <c r="AF218" i="1"/>
  <c r="AE218" i="1"/>
  <c r="AD218" i="1"/>
  <c r="AC218" i="1"/>
  <c r="X218" i="1" s="1"/>
  <c r="AB218" i="1"/>
  <c r="Z218" i="1"/>
  <c r="O218" i="1"/>
  <c r="AL217" i="1"/>
  <c r="AK217" i="1"/>
  <c r="AJ217" i="1"/>
  <c r="AI217" i="1"/>
  <c r="AH217" i="1"/>
  <c r="AG217" i="1"/>
  <c r="AF217" i="1"/>
  <c r="AE217" i="1"/>
  <c r="AD217" i="1"/>
  <c r="AC217" i="1"/>
  <c r="X217" i="1" s="1"/>
  <c r="AB217" i="1"/>
  <c r="Z217" i="1"/>
  <c r="O217" i="1"/>
  <c r="AL216" i="1"/>
  <c r="AK216" i="1"/>
  <c r="AJ216" i="1"/>
  <c r="AI216" i="1"/>
  <c r="AH216" i="1"/>
  <c r="AG216" i="1"/>
  <c r="AF216" i="1"/>
  <c r="AE216" i="1"/>
  <c r="AD216" i="1"/>
  <c r="AC216" i="1"/>
  <c r="AB216" i="1"/>
  <c r="Z216" i="1"/>
  <c r="X216" i="1"/>
  <c r="O216" i="1"/>
  <c r="AL215" i="1"/>
  <c r="AK215" i="1"/>
  <c r="AJ215" i="1"/>
  <c r="AI215" i="1"/>
  <c r="AH215" i="1"/>
  <c r="AG215" i="1"/>
  <c r="AF215" i="1"/>
  <c r="AE215" i="1"/>
  <c r="AD215" i="1"/>
  <c r="AC215" i="1"/>
  <c r="AB215" i="1"/>
  <c r="Z215" i="1"/>
  <c r="X215" i="1"/>
  <c r="O215" i="1"/>
  <c r="AL214" i="1"/>
  <c r="AK214" i="1"/>
  <c r="AJ214" i="1"/>
  <c r="AI214" i="1"/>
  <c r="AH214" i="1"/>
  <c r="AG214" i="1"/>
  <c r="AF214" i="1"/>
  <c r="AE214" i="1"/>
  <c r="AD214" i="1"/>
  <c r="AC214" i="1"/>
  <c r="AB214" i="1"/>
  <c r="Z214" i="1"/>
  <c r="X214" i="1"/>
  <c r="O214" i="1"/>
  <c r="AL213" i="1"/>
  <c r="AK213" i="1"/>
  <c r="AJ213" i="1"/>
  <c r="AI213" i="1"/>
  <c r="AH213" i="1"/>
  <c r="AG213" i="1"/>
  <c r="AF213" i="1"/>
  <c r="AE213" i="1"/>
  <c r="AD213" i="1"/>
  <c r="AC213" i="1"/>
  <c r="AB213" i="1"/>
  <c r="Z213" i="1"/>
  <c r="X213" i="1"/>
  <c r="O213" i="1"/>
  <c r="AL212" i="1"/>
  <c r="AK212" i="1"/>
  <c r="AJ212" i="1"/>
  <c r="AI212" i="1"/>
  <c r="AH212" i="1"/>
  <c r="AG212" i="1"/>
  <c r="AF212" i="1"/>
  <c r="AE212" i="1"/>
  <c r="AD212" i="1"/>
  <c r="AC212" i="1"/>
  <c r="AB212" i="1"/>
  <c r="X212" i="1"/>
  <c r="O212" i="1"/>
  <c r="AL211" i="1"/>
  <c r="AK211" i="1"/>
  <c r="AJ211" i="1"/>
  <c r="AI211" i="1"/>
  <c r="AH211" i="1"/>
  <c r="AG211" i="1"/>
  <c r="AF211" i="1"/>
  <c r="AE211" i="1"/>
  <c r="AD211" i="1"/>
  <c r="AC211" i="1"/>
  <c r="AB211" i="1"/>
  <c r="Z211" i="1"/>
  <c r="X211" i="1"/>
  <c r="O211" i="1"/>
  <c r="AL210" i="1"/>
  <c r="AK210" i="1"/>
  <c r="AJ210" i="1"/>
  <c r="AI210" i="1"/>
  <c r="AH210" i="1"/>
  <c r="AG210" i="1"/>
  <c r="AF210" i="1"/>
  <c r="AE210" i="1"/>
  <c r="AD210" i="1"/>
  <c r="AC210" i="1"/>
  <c r="AB210" i="1"/>
  <c r="Z210" i="1"/>
  <c r="X210" i="1"/>
  <c r="O210" i="1"/>
  <c r="AL209" i="1"/>
  <c r="AK209" i="1"/>
  <c r="AJ209" i="1"/>
  <c r="AI209" i="1"/>
  <c r="AH209" i="1"/>
  <c r="AG209" i="1"/>
  <c r="AF209" i="1"/>
  <c r="Z209" i="1" s="1"/>
  <c r="AE209" i="1"/>
  <c r="AD209" i="1"/>
  <c r="AC209" i="1"/>
  <c r="AB209" i="1"/>
  <c r="X209" i="1"/>
  <c r="O209" i="1"/>
  <c r="AL208" i="1"/>
  <c r="AK208" i="1"/>
  <c r="AJ208" i="1"/>
  <c r="AI208" i="1"/>
  <c r="AH208" i="1"/>
  <c r="AG208" i="1"/>
  <c r="AF208" i="1"/>
  <c r="AE208" i="1"/>
  <c r="Z208" i="1" s="1"/>
  <c r="AD208" i="1"/>
  <c r="AC208" i="1"/>
  <c r="X208" i="1" s="1"/>
  <c r="AB208" i="1"/>
  <c r="O208" i="1"/>
  <c r="AL207" i="1"/>
  <c r="AK207" i="1"/>
  <c r="AJ207" i="1"/>
  <c r="AI207" i="1"/>
  <c r="AH207" i="1"/>
  <c r="AG207" i="1"/>
  <c r="AF207" i="1"/>
  <c r="AE207" i="1"/>
  <c r="AD207" i="1"/>
  <c r="AC207" i="1"/>
  <c r="X207" i="1" s="1"/>
  <c r="AB207" i="1"/>
  <c r="Z207" i="1"/>
  <c r="O207" i="1"/>
  <c r="AL206" i="1"/>
  <c r="AK206" i="1"/>
  <c r="AJ206" i="1"/>
  <c r="AI206" i="1"/>
  <c r="AH206" i="1"/>
  <c r="AG206" i="1"/>
  <c r="AF206" i="1"/>
  <c r="AE206" i="1"/>
  <c r="AD206" i="1"/>
  <c r="AC206" i="1"/>
  <c r="AB206" i="1"/>
  <c r="Z206" i="1"/>
  <c r="X206" i="1"/>
  <c r="O206" i="1"/>
  <c r="AL205" i="1"/>
  <c r="AK205" i="1"/>
  <c r="AJ205" i="1"/>
  <c r="AI205" i="1"/>
  <c r="AH205" i="1"/>
  <c r="AG205" i="1"/>
  <c r="AF205" i="1"/>
  <c r="AE205" i="1"/>
  <c r="AD205" i="1"/>
  <c r="AC205" i="1"/>
  <c r="AB205" i="1"/>
  <c r="Z205" i="1"/>
  <c r="X205" i="1"/>
  <c r="O205" i="1"/>
  <c r="AL204" i="1"/>
  <c r="AK204" i="1"/>
  <c r="AJ204" i="1"/>
  <c r="AI204" i="1"/>
  <c r="AH204" i="1"/>
  <c r="AG204" i="1"/>
  <c r="AF204" i="1"/>
  <c r="AE204" i="1"/>
  <c r="AD204" i="1"/>
  <c r="AC204" i="1"/>
  <c r="AB204" i="1"/>
  <c r="Z204" i="1"/>
  <c r="X204" i="1"/>
  <c r="O204" i="1"/>
  <c r="AL203" i="1"/>
  <c r="AK203" i="1"/>
  <c r="AJ203" i="1"/>
  <c r="AI203" i="1"/>
  <c r="AH203" i="1"/>
  <c r="AG203" i="1"/>
  <c r="AF203" i="1"/>
  <c r="AE203" i="1"/>
  <c r="AD203" i="1"/>
  <c r="AC203" i="1"/>
  <c r="AB203" i="1"/>
  <c r="Z203" i="1"/>
  <c r="X203" i="1"/>
  <c r="O203" i="1"/>
  <c r="AL202" i="1"/>
  <c r="AK202" i="1"/>
  <c r="AJ202" i="1"/>
  <c r="AI202" i="1"/>
  <c r="AH202" i="1"/>
  <c r="AG202" i="1"/>
  <c r="AF202" i="1"/>
  <c r="AE202" i="1"/>
  <c r="AD202" i="1"/>
  <c r="AC202" i="1"/>
  <c r="X202" i="1" s="1"/>
  <c r="AB202" i="1"/>
  <c r="Z202" i="1"/>
  <c r="O202" i="1"/>
  <c r="AL201" i="1"/>
  <c r="AK201" i="1"/>
  <c r="AJ201" i="1"/>
  <c r="AI201" i="1"/>
  <c r="AH201" i="1"/>
  <c r="AG201" i="1"/>
  <c r="AF201" i="1"/>
  <c r="AE201" i="1"/>
  <c r="AD201" i="1"/>
  <c r="AC201" i="1"/>
  <c r="AB201" i="1"/>
  <c r="Z201" i="1"/>
  <c r="X201" i="1"/>
  <c r="O201" i="1"/>
  <c r="AL200" i="1"/>
  <c r="AK200" i="1"/>
  <c r="AJ200" i="1"/>
  <c r="AI200" i="1"/>
  <c r="AH200" i="1"/>
  <c r="AG200" i="1"/>
  <c r="AF200" i="1"/>
  <c r="AE200" i="1"/>
  <c r="AD200" i="1"/>
  <c r="AC200" i="1"/>
  <c r="AB200" i="1"/>
  <c r="Z200" i="1"/>
  <c r="X200" i="1"/>
  <c r="O200" i="1"/>
  <c r="AL199" i="1"/>
  <c r="AK199" i="1"/>
  <c r="AJ199" i="1"/>
  <c r="AI199" i="1"/>
  <c r="AH199" i="1"/>
  <c r="AG199" i="1"/>
  <c r="AF199" i="1"/>
  <c r="AE199" i="1"/>
  <c r="AD199" i="1"/>
  <c r="AC199" i="1"/>
  <c r="X199" i="1" s="1"/>
  <c r="AB199" i="1"/>
  <c r="Z199" i="1"/>
  <c r="O199" i="1"/>
  <c r="AL198" i="1"/>
  <c r="AK198" i="1"/>
  <c r="AJ198" i="1"/>
  <c r="AI198" i="1"/>
  <c r="AH198" i="1"/>
  <c r="AG198" i="1"/>
  <c r="AF198" i="1"/>
  <c r="AE198" i="1"/>
  <c r="AD198" i="1"/>
  <c r="AC198" i="1"/>
  <c r="X198" i="1" s="1"/>
  <c r="AB198" i="1"/>
  <c r="Z198" i="1"/>
  <c r="O198" i="1"/>
  <c r="AL197" i="1"/>
  <c r="AK197" i="1"/>
  <c r="AJ197" i="1"/>
  <c r="AI197" i="1"/>
  <c r="AH197" i="1"/>
  <c r="AG197" i="1"/>
  <c r="AF197" i="1"/>
  <c r="AE197" i="1"/>
  <c r="AD197" i="1"/>
  <c r="AC197" i="1"/>
  <c r="X197" i="1" s="1"/>
  <c r="AB197" i="1"/>
  <c r="Z197" i="1"/>
  <c r="O197" i="1"/>
  <c r="AL196" i="1"/>
  <c r="AK196" i="1"/>
  <c r="AJ196" i="1"/>
  <c r="AI196" i="1"/>
  <c r="AH196" i="1"/>
  <c r="AG196" i="1"/>
  <c r="AF196" i="1"/>
  <c r="AE196" i="1"/>
  <c r="AD196" i="1"/>
  <c r="AC196" i="1"/>
  <c r="X196" i="1" s="1"/>
  <c r="AB196" i="1"/>
  <c r="Z196" i="1"/>
  <c r="O196" i="1"/>
  <c r="AL195" i="1"/>
  <c r="AK195" i="1"/>
  <c r="AJ195" i="1"/>
  <c r="AI195" i="1"/>
  <c r="AH195" i="1"/>
  <c r="AG195" i="1"/>
  <c r="AF195" i="1"/>
  <c r="AE195" i="1"/>
  <c r="AD195" i="1"/>
  <c r="AC195" i="1"/>
  <c r="X195" i="1" s="1"/>
  <c r="AB195" i="1"/>
  <c r="Z195" i="1"/>
  <c r="O195" i="1"/>
  <c r="AL194" i="1"/>
  <c r="AK194" i="1"/>
  <c r="AJ194" i="1"/>
  <c r="AI194" i="1"/>
  <c r="AH194" i="1"/>
  <c r="AG194" i="1"/>
  <c r="AF194" i="1"/>
  <c r="AE194" i="1"/>
  <c r="AD194" i="1"/>
  <c r="AC194" i="1"/>
  <c r="AB194" i="1"/>
  <c r="Z194" i="1"/>
  <c r="X194" i="1"/>
  <c r="K12" i="1" s="1"/>
  <c r="O194" i="1"/>
  <c r="AU193" i="1"/>
  <c r="AL193" i="1"/>
  <c r="AK193" i="1"/>
  <c r="AJ193" i="1"/>
  <c r="AI193" i="1"/>
  <c r="AH193" i="1"/>
  <c r="AG193" i="1"/>
  <c r="AF193" i="1"/>
  <c r="AE193" i="1"/>
  <c r="AD193" i="1"/>
  <c r="AC193" i="1"/>
  <c r="X193" i="1" s="1"/>
  <c r="AB193" i="1"/>
  <c r="Z193" i="1"/>
  <c r="O193" i="1"/>
  <c r="AU192" i="1"/>
  <c r="AL192" i="1"/>
  <c r="AK192" i="1"/>
  <c r="AJ192" i="1"/>
  <c r="AI192" i="1"/>
  <c r="AH192" i="1"/>
  <c r="AG192" i="1"/>
  <c r="AF192" i="1"/>
  <c r="AE192" i="1"/>
  <c r="AD192" i="1"/>
  <c r="AC192" i="1"/>
  <c r="AB192" i="1"/>
  <c r="Z192" i="1"/>
  <c r="X192" i="1"/>
  <c r="O192" i="1"/>
  <c r="AU191" i="1"/>
  <c r="AL191" i="1"/>
  <c r="AK191" i="1"/>
  <c r="AJ191" i="1"/>
  <c r="AI191" i="1"/>
  <c r="AH191" i="1"/>
  <c r="AG191" i="1"/>
  <c r="AF191" i="1"/>
  <c r="AE191" i="1"/>
  <c r="AD191" i="1"/>
  <c r="AC191" i="1"/>
  <c r="AB191" i="1"/>
  <c r="Z191" i="1"/>
  <c r="X191" i="1"/>
  <c r="O191" i="1"/>
  <c r="AU190" i="1"/>
  <c r="AL190" i="1"/>
  <c r="AK190" i="1"/>
  <c r="AJ190" i="1"/>
  <c r="AI190" i="1"/>
  <c r="AH190" i="1"/>
  <c r="AG190" i="1"/>
  <c r="AF190" i="1"/>
  <c r="AE190" i="1"/>
  <c r="AD190" i="1"/>
  <c r="AC190" i="1"/>
  <c r="AB190" i="1"/>
  <c r="Z190" i="1"/>
  <c r="X190" i="1"/>
  <c r="O190" i="1"/>
  <c r="AU189" i="1"/>
  <c r="AL189" i="1"/>
  <c r="AK189" i="1"/>
  <c r="AJ189" i="1"/>
  <c r="AI189" i="1"/>
  <c r="AH189" i="1"/>
  <c r="AG189" i="1"/>
  <c r="AF189" i="1"/>
  <c r="AE189" i="1"/>
  <c r="AD189" i="1"/>
  <c r="AC189" i="1"/>
  <c r="X189" i="1" s="1"/>
  <c r="AB189" i="1"/>
  <c r="Z189" i="1"/>
  <c r="O189" i="1"/>
  <c r="AU188" i="1"/>
  <c r="AL188" i="1"/>
  <c r="AK188" i="1"/>
  <c r="AJ188" i="1"/>
  <c r="AI188" i="1"/>
  <c r="AH188" i="1"/>
  <c r="AG188" i="1"/>
  <c r="AF188" i="1"/>
  <c r="AE188" i="1"/>
  <c r="AD188" i="1"/>
  <c r="AC188" i="1"/>
  <c r="X188" i="1" s="1"/>
  <c r="AB188" i="1"/>
  <c r="Z188" i="1"/>
  <c r="O188" i="1"/>
  <c r="AU187" i="1"/>
  <c r="AL187" i="1"/>
  <c r="AK187" i="1"/>
  <c r="AJ187" i="1"/>
  <c r="AI187" i="1"/>
  <c r="AH187" i="1"/>
  <c r="AG187" i="1"/>
  <c r="AF187" i="1"/>
  <c r="AE187" i="1"/>
  <c r="AD187" i="1"/>
  <c r="AC187" i="1"/>
  <c r="X187" i="1" s="1"/>
  <c r="AB187" i="1"/>
  <c r="Z187" i="1"/>
  <c r="O187" i="1"/>
  <c r="AU186" i="1"/>
  <c r="AL186" i="1"/>
  <c r="AK186" i="1"/>
  <c r="AJ186" i="1"/>
  <c r="AI186" i="1"/>
  <c r="AH186" i="1"/>
  <c r="AG186" i="1"/>
  <c r="AF186" i="1"/>
  <c r="AE186" i="1"/>
  <c r="AD186" i="1"/>
  <c r="AC186" i="1"/>
  <c r="X186" i="1" s="1"/>
  <c r="AB186" i="1"/>
  <c r="Z186" i="1"/>
  <c r="O186" i="1"/>
  <c r="AU185" i="1"/>
  <c r="AL185" i="1"/>
  <c r="AK185" i="1"/>
  <c r="AJ185" i="1"/>
  <c r="AI185" i="1"/>
  <c r="AH185" i="1"/>
  <c r="AG185" i="1"/>
  <c r="AF185" i="1"/>
  <c r="AE185" i="1"/>
  <c r="AD185" i="1"/>
  <c r="AC185" i="1"/>
  <c r="X185" i="1" s="1"/>
  <c r="AB185" i="1"/>
  <c r="Z185" i="1"/>
  <c r="O185" i="1"/>
  <c r="AU184" i="1"/>
  <c r="AL184" i="1"/>
  <c r="AK184" i="1"/>
  <c r="AJ184" i="1"/>
  <c r="AI184" i="1"/>
  <c r="AH184" i="1"/>
  <c r="AG184" i="1"/>
  <c r="AF184" i="1"/>
  <c r="AE184" i="1"/>
  <c r="AD184" i="1"/>
  <c r="AC184" i="1"/>
  <c r="X184" i="1" s="1"/>
  <c r="AB184" i="1"/>
  <c r="Z184" i="1"/>
  <c r="O184" i="1"/>
  <c r="AU183" i="1"/>
  <c r="AL183" i="1"/>
  <c r="AK183" i="1"/>
  <c r="AJ183" i="1"/>
  <c r="AI183" i="1"/>
  <c r="AH183" i="1"/>
  <c r="AG183" i="1"/>
  <c r="AF183" i="1"/>
  <c r="AE183" i="1"/>
  <c r="AD183" i="1"/>
  <c r="AC183" i="1"/>
  <c r="X183" i="1" s="1"/>
  <c r="AB183" i="1"/>
  <c r="Z183" i="1"/>
  <c r="O183" i="1"/>
  <c r="AU182" i="1"/>
  <c r="AL182" i="1"/>
  <c r="AK182" i="1"/>
  <c r="AJ182" i="1"/>
  <c r="AI182" i="1"/>
  <c r="AH182" i="1"/>
  <c r="AG182" i="1"/>
  <c r="AF182" i="1"/>
  <c r="AE182" i="1"/>
  <c r="AD182" i="1"/>
  <c r="AC182" i="1"/>
  <c r="X182" i="1" s="1"/>
  <c r="AB182" i="1"/>
  <c r="Z182" i="1"/>
  <c r="O182" i="1"/>
  <c r="AU181" i="1"/>
  <c r="AL181" i="1"/>
  <c r="AK181" i="1"/>
  <c r="AJ181" i="1"/>
  <c r="AI181" i="1"/>
  <c r="AH181" i="1"/>
  <c r="AG181" i="1"/>
  <c r="AF181" i="1"/>
  <c r="AE181" i="1"/>
  <c r="AD181" i="1"/>
  <c r="AC181" i="1"/>
  <c r="X181" i="1" s="1"/>
  <c r="AB181" i="1"/>
  <c r="Z181" i="1"/>
  <c r="O181" i="1"/>
  <c r="AU180" i="1"/>
  <c r="AL180" i="1"/>
  <c r="AK180" i="1"/>
  <c r="AJ180" i="1"/>
  <c r="AI180" i="1"/>
  <c r="AH180" i="1"/>
  <c r="AG180" i="1"/>
  <c r="AF180" i="1"/>
  <c r="AE180" i="1"/>
  <c r="AD180" i="1"/>
  <c r="AC180" i="1"/>
  <c r="AB180" i="1"/>
  <c r="Z180" i="1"/>
  <c r="O180" i="1"/>
  <c r="AU179" i="1"/>
  <c r="AL179" i="1"/>
  <c r="AK179" i="1"/>
  <c r="AJ179" i="1"/>
  <c r="AI179" i="1"/>
  <c r="AH179" i="1"/>
  <c r="AG179" i="1"/>
  <c r="AF179" i="1"/>
  <c r="AE179" i="1"/>
  <c r="AD179" i="1"/>
  <c r="X179" i="1" s="1"/>
  <c r="AC179" i="1"/>
  <c r="AB179" i="1"/>
  <c r="Z179" i="1"/>
  <c r="O179" i="1"/>
  <c r="AU178" i="1"/>
  <c r="AL178" i="1"/>
  <c r="AK178" i="1"/>
  <c r="AJ178" i="1"/>
  <c r="AI178" i="1"/>
  <c r="AH178" i="1"/>
  <c r="AG178" i="1"/>
  <c r="AF178" i="1"/>
  <c r="AE178" i="1"/>
  <c r="AD178" i="1"/>
  <c r="AC178" i="1"/>
  <c r="X178" i="1" s="1"/>
  <c r="AB178" i="1"/>
  <c r="Z178" i="1"/>
  <c r="O178" i="1"/>
  <c r="AU177" i="1"/>
  <c r="AL177" i="1"/>
  <c r="AK177" i="1"/>
  <c r="AJ177" i="1"/>
  <c r="AI177" i="1"/>
  <c r="AH177" i="1"/>
  <c r="AG177" i="1"/>
  <c r="AF177" i="1"/>
  <c r="AE177" i="1"/>
  <c r="AD177" i="1"/>
  <c r="AC177" i="1"/>
  <c r="X177" i="1" s="1"/>
  <c r="AB177" i="1"/>
  <c r="Z177" i="1"/>
  <c r="O177" i="1"/>
  <c r="AU176" i="1"/>
  <c r="AL176" i="1"/>
  <c r="AK176" i="1"/>
  <c r="AJ176" i="1"/>
  <c r="AI176" i="1"/>
  <c r="AH176" i="1"/>
  <c r="AG176" i="1"/>
  <c r="AF176" i="1"/>
  <c r="AE176" i="1"/>
  <c r="AD176" i="1"/>
  <c r="AC176" i="1"/>
  <c r="X176" i="1" s="1"/>
  <c r="AB176" i="1"/>
  <c r="Z176" i="1"/>
  <c r="O176" i="1"/>
  <c r="AU175" i="1"/>
  <c r="AL175" i="1"/>
  <c r="AK175" i="1"/>
  <c r="AJ175" i="1"/>
  <c r="AI175" i="1"/>
  <c r="AH175" i="1"/>
  <c r="AG175" i="1"/>
  <c r="AF175" i="1"/>
  <c r="AE175" i="1"/>
  <c r="AD175" i="1"/>
  <c r="AC175" i="1"/>
  <c r="X175" i="1" s="1"/>
  <c r="AB175" i="1"/>
  <c r="Z175" i="1"/>
  <c r="O175" i="1"/>
  <c r="AU174" i="1"/>
  <c r="AL174" i="1"/>
  <c r="AK174" i="1"/>
  <c r="AJ174" i="1"/>
  <c r="AI174" i="1"/>
  <c r="AH174" i="1"/>
  <c r="AG174" i="1"/>
  <c r="AF174" i="1"/>
  <c r="AE174" i="1"/>
  <c r="AD174" i="1"/>
  <c r="AC174" i="1"/>
  <c r="AB174" i="1"/>
  <c r="Z174" i="1"/>
  <c r="O174" i="1"/>
  <c r="AU173" i="1"/>
  <c r="AL173" i="1"/>
  <c r="AK173" i="1"/>
  <c r="AJ173" i="1"/>
  <c r="AI173" i="1"/>
  <c r="AH173" i="1"/>
  <c r="AG173" i="1"/>
  <c r="AF173" i="1"/>
  <c r="AE173" i="1"/>
  <c r="AD173" i="1"/>
  <c r="AC173" i="1"/>
  <c r="AB173" i="1"/>
  <c r="Z173" i="1"/>
  <c r="O173" i="1"/>
  <c r="AU172" i="1"/>
  <c r="AL172" i="1"/>
  <c r="AK172" i="1"/>
  <c r="AJ172" i="1"/>
  <c r="AI172" i="1"/>
  <c r="Z172" i="1" s="1"/>
  <c r="AH172" i="1"/>
  <c r="AG172" i="1"/>
  <c r="AF172" i="1"/>
  <c r="AE172" i="1"/>
  <c r="AD172" i="1"/>
  <c r="AC172" i="1"/>
  <c r="X172" i="1" s="1"/>
  <c r="AB172" i="1"/>
  <c r="O172" i="1"/>
  <c r="AU171" i="1"/>
  <c r="AL171" i="1"/>
  <c r="AK171" i="1"/>
  <c r="AJ171" i="1"/>
  <c r="AI171" i="1"/>
  <c r="AH171" i="1"/>
  <c r="AG171" i="1"/>
  <c r="AF171" i="1"/>
  <c r="AE171" i="1"/>
  <c r="AD171" i="1"/>
  <c r="X171" i="1" s="1"/>
  <c r="AC171" i="1"/>
  <c r="AB171" i="1"/>
  <c r="Z171" i="1"/>
  <c r="O171" i="1"/>
  <c r="AU170" i="1"/>
  <c r="AL170" i="1"/>
  <c r="AK170" i="1"/>
  <c r="AJ170" i="1"/>
  <c r="AI170" i="1"/>
  <c r="AH170" i="1"/>
  <c r="AG170" i="1"/>
  <c r="AF170" i="1"/>
  <c r="AE170" i="1"/>
  <c r="AD170" i="1"/>
  <c r="AC170" i="1"/>
  <c r="X170" i="1" s="1"/>
  <c r="AB170" i="1"/>
  <c r="Z170" i="1"/>
  <c r="O170" i="1"/>
  <c r="AU169" i="1"/>
  <c r="AL169" i="1"/>
  <c r="AK169" i="1"/>
  <c r="AJ169" i="1"/>
  <c r="AI169" i="1"/>
  <c r="AH169" i="1"/>
  <c r="AG169" i="1"/>
  <c r="AF169" i="1"/>
  <c r="AE169" i="1"/>
  <c r="AD169" i="1"/>
  <c r="AC169" i="1"/>
  <c r="X169" i="1" s="1"/>
  <c r="AB169" i="1"/>
  <c r="Z169" i="1"/>
  <c r="O169" i="1"/>
  <c r="AU168" i="1"/>
  <c r="AL168" i="1"/>
  <c r="AK168" i="1"/>
  <c r="AJ168" i="1"/>
  <c r="AI168" i="1"/>
  <c r="AH168" i="1"/>
  <c r="AG168" i="1"/>
  <c r="AF168" i="1"/>
  <c r="AE168" i="1"/>
  <c r="AD168" i="1"/>
  <c r="AC168" i="1"/>
  <c r="AB168" i="1"/>
  <c r="Z168" i="1"/>
  <c r="O168" i="1"/>
  <c r="AU167" i="1"/>
  <c r="AL167" i="1"/>
  <c r="AK167" i="1"/>
  <c r="AJ167" i="1"/>
  <c r="AI167" i="1"/>
  <c r="AH167" i="1"/>
  <c r="AG167" i="1"/>
  <c r="AF167" i="1"/>
  <c r="AE167" i="1"/>
  <c r="AD167" i="1"/>
  <c r="AC167" i="1"/>
  <c r="X167" i="1" s="1"/>
  <c r="AB167" i="1"/>
  <c r="Z167" i="1"/>
  <c r="O167" i="1"/>
  <c r="AU166" i="1"/>
  <c r="AL166" i="1"/>
  <c r="AK166" i="1"/>
  <c r="AJ166" i="1"/>
  <c r="AI166" i="1"/>
  <c r="AH166" i="1"/>
  <c r="AG166" i="1"/>
  <c r="AF166" i="1"/>
  <c r="AE166" i="1"/>
  <c r="AD166" i="1"/>
  <c r="AC166" i="1"/>
  <c r="X166" i="1" s="1"/>
  <c r="AB166" i="1"/>
  <c r="Z166" i="1"/>
  <c r="O166" i="1"/>
  <c r="AU165" i="1"/>
  <c r="AL165" i="1"/>
  <c r="AK165" i="1"/>
  <c r="AJ165" i="1"/>
  <c r="AI165" i="1"/>
  <c r="AH165" i="1"/>
  <c r="AG165" i="1"/>
  <c r="AF165" i="1"/>
  <c r="AE165" i="1"/>
  <c r="AD165" i="1"/>
  <c r="AC165" i="1"/>
  <c r="X165" i="1" s="1"/>
  <c r="AB165" i="1"/>
  <c r="Z165" i="1"/>
  <c r="O165" i="1"/>
  <c r="AU164" i="1"/>
  <c r="AL164" i="1"/>
  <c r="AK164" i="1"/>
  <c r="AJ164" i="1"/>
  <c r="AI164" i="1"/>
  <c r="AH164" i="1"/>
  <c r="AG164" i="1"/>
  <c r="AF164" i="1"/>
  <c r="AE164" i="1"/>
  <c r="AD164" i="1"/>
  <c r="AC164" i="1"/>
  <c r="X164" i="1" s="1"/>
  <c r="AB164" i="1"/>
  <c r="Z164" i="1"/>
  <c r="O164" i="1"/>
  <c r="AU163" i="1"/>
  <c r="AL163" i="1"/>
  <c r="AK163" i="1"/>
  <c r="AJ163" i="1"/>
  <c r="AI163" i="1"/>
  <c r="AH163" i="1"/>
  <c r="AG163" i="1"/>
  <c r="AF163" i="1"/>
  <c r="AE163" i="1"/>
  <c r="AD163" i="1"/>
  <c r="AC163" i="1"/>
  <c r="X163" i="1" s="1"/>
  <c r="AB163" i="1"/>
  <c r="Z163" i="1"/>
  <c r="O163" i="1"/>
  <c r="AU162" i="1"/>
  <c r="AL162" i="1"/>
  <c r="AK162" i="1"/>
  <c r="AJ162" i="1"/>
  <c r="AI162" i="1"/>
  <c r="AH162" i="1"/>
  <c r="AG162" i="1"/>
  <c r="AF162" i="1"/>
  <c r="AE162" i="1"/>
  <c r="AD162" i="1"/>
  <c r="AC162" i="1"/>
  <c r="AB162" i="1"/>
  <c r="Z162" i="1"/>
  <c r="O162" i="1"/>
  <c r="AL161" i="1"/>
  <c r="AK161" i="1"/>
  <c r="AJ161" i="1"/>
  <c r="AI161" i="1"/>
  <c r="AH161" i="1"/>
  <c r="AG161" i="1"/>
  <c r="AF161" i="1"/>
  <c r="AE161" i="1"/>
  <c r="AD161" i="1"/>
  <c r="AC161" i="1"/>
  <c r="X161" i="1" s="1"/>
  <c r="AB161" i="1"/>
  <c r="Z161" i="1"/>
  <c r="O161" i="1"/>
  <c r="AL160" i="1"/>
  <c r="AK160" i="1"/>
  <c r="AJ160" i="1"/>
  <c r="AI160" i="1"/>
  <c r="AH160" i="1"/>
  <c r="AG160" i="1"/>
  <c r="AF160" i="1"/>
  <c r="AE160" i="1"/>
  <c r="AD160" i="1"/>
  <c r="AC160" i="1"/>
  <c r="X160" i="1" s="1"/>
  <c r="AB160" i="1"/>
  <c r="Z160" i="1"/>
  <c r="O160" i="1"/>
  <c r="AL159" i="1"/>
  <c r="AK159" i="1"/>
  <c r="AJ159" i="1"/>
  <c r="AI159" i="1"/>
  <c r="AH159" i="1"/>
  <c r="AG159" i="1"/>
  <c r="AF159" i="1"/>
  <c r="AE159" i="1"/>
  <c r="AD159" i="1"/>
  <c r="AC159" i="1"/>
  <c r="X159" i="1" s="1"/>
  <c r="AB159" i="1"/>
  <c r="Z159" i="1"/>
  <c r="O159" i="1"/>
  <c r="AL158" i="1"/>
  <c r="AK158" i="1"/>
  <c r="AJ158" i="1"/>
  <c r="AI158" i="1"/>
  <c r="AH158" i="1"/>
  <c r="AG158" i="1"/>
  <c r="AF158" i="1"/>
  <c r="AE158" i="1"/>
  <c r="AD158" i="1"/>
  <c r="AC158" i="1"/>
  <c r="X158" i="1" s="1"/>
  <c r="AB158" i="1"/>
  <c r="Z158" i="1"/>
  <c r="O158" i="1"/>
  <c r="AL157" i="1"/>
  <c r="AK157" i="1"/>
  <c r="AJ157" i="1"/>
  <c r="AI157" i="1"/>
  <c r="AH157" i="1"/>
  <c r="AG157" i="1"/>
  <c r="AF157" i="1"/>
  <c r="AE157" i="1"/>
  <c r="Z157" i="1" s="1"/>
  <c r="AD157" i="1"/>
  <c r="AC157" i="1"/>
  <c r="X157" i="1" s="1"/>
  <c r="AB157" i="1"/>
  <c r="O157" i="1"/>
  <c r="AL156" i="1"/>
  <c r="AK156" i="1"/>
  <c r="AJ156" i="1"/>
  <c r="AI156" i="1"/>
  <c r="AH156" i="1"/>
  <c r="AG156" i="1"/>
  <c r="AF156" i="1"/>
  <c r="AE156" i="1"/>
  <c r="Z156" i="1" s="1"/>
  <c r="AD156" i="1"/>
  <c r="AC156" i="1"/>
  <c r="X156" i="1" s="1"/>
  <c r="AB156" i="1"/>
  <c r="O156" i="1"/>
  <c r="AL155" i="1"/>
  <c r="AK155" i="1"/>
  <c r="AJ155" i="1"/>
  <c r="AI155" i="1"/>
  <c r="AH155" i="1"/>
  <c r="AG155" i="1"/>
  <c r="AF155" i="1"/>
  <c r="AE155" i="1"/>
  <c r="AD155" i="1"/>
  <c r="AC155" i="1"/>
  <c r="X155" i="1" s="1"/>
  <c r="AB155" i="1"/>
  <c r="O155" i="1"/>
  <c r="AL154" i="1"/>
  <c r="AK154" i="1"/>
  <c r="AJ154" i="1"/>
  <c r="AI154" i="1"/>
  <c r="AH154" i="1"/>
  <c r="AG154" i="1"/>
  <c r="AF154" i="1"/>
  <c r="AE154" i="1"/>
  <c r="Z154" i="1" s="1"/>
  <c r="AD154" i="1"/>
  <c r="X154" i="1" s="1"/>
  <c r="AC154" i="1"/>
  <c r="AB154" i="1"/>
  <c r="O154" i="1"/>
  <c r="AL153" i="1"/>
  <c r="AK153" i="1"/>
  <c r="AJ153" i="1"/>
  <c r="AI153" i="1"/>
  <c r="AH153" i="1"/>
  <c r="AG153" i="1"/>
  <c r="AF153" i="1"/>
  <c r="AE153" i="1"/>
  <c r="AD153" i="1"/>
  <c r="AC153" i="1"/>
  <c r="X153" i="1" s="1"/>
  <c r="AB153" i="1"/>
  <c r="Z153" i="1"/>
  <c r="O153" i="1"/>
  <c r="AL152" i="1"/>
  <c r="AK152" i="1"/>
  <c r="AJ152" i="1"/>
  <c r="AI152" i="1"/>
  <c r="AH152" i="1"/>
  <c r="AG152" i="1"/>
  <c r="AF152" i="1"/>
  <c r="AE152" i="1"/>
  <c r="AD152" i="1"/>
  <c r="AC152" i="1"/>
  <c r="X152" i="1" s="1"/>
  <c r="AB152" i="1"/>
  <c r="Z152" i="1"/>
  <c r="O152" i="1"/>
  <c r="AL151" i="1"/>
  <c r="AK151" i="1"/>
  <c r="AJ151" i="1"/>
  <c r="AI151" i="1"/>
  <c r="AH151" i="1"/>
  <c r="AG151" i="1"/>
  <c r="AF151" i="1"/>
  <c r="AE151" i="1"/>
  <c r="Z151" i="1" s="1"/>
  <c r="AD151" i="1"/>
  <c r="AC151" i="1"/>
  <c r="X151" i="1" s="1"/>
  <c r="AB151" i="1"/>
  <c r="O151" i="1"/>
  <c r="AL150" i="1"/>
  <c r="AK150" i="1"/>
  <c r="AJ150" i="1"/>
  <c r="AI150" i="1"/>
  <c r="AH150" i="1"/>
  <c r="AG150" i="1"/>
  <c r="AF150" i="1"/>
  <c r="AE150" i="1"/>
  <c r="Z150" i="1" s="1"/>
  <c r="AD150" i="1"/>
  <c r="AC150" i="1"/>
  <c r="AB150" i="1"/>
  <c r="O150" i="1"/>
  <c r="AL149" i="1"/>
  <c r="AK149" i="1"/>
  <c r="AJ149" i="1"/>
  <c r="AI149" i="1"/>
  <c r="AH149" i="1"/>
  <c r="AG149" i="1"/>
  <c r="AF149" i="1"/>
  <c r="AE149" i="1"/>
  <c r="Z149" i="1" s="1"/>
  <c r="AD149" i="1"/>
  <c r="AC149" i="1"/>
  <c r="X149" i="1" s="1"/>
  <c r="AB149" i="1"/>
  <c r="O149" i="1"/>
  <c r="AL148" i="1"/>
  <c r="AK148" i="1"/>
  <c r="AJ148" i="1"/>
  <c r="AI148" i="1"/>
  <c r="AH148" i="1"/>
  <c r="AG148" i="1"/>
  <c r="AF148" i="1"/>
  <c r="AE148" i="1"/>
  <c r="AD148" i="1"/>
  <c r="AC148" i="1"/>
  <c r="X148" i="1" s="1"/>
  <c r="AB148" i="1"/>
  <c r="O148" i="1"/>
  <c r="AL147" i="1"/>
  <c r="AK147" i="1"/>
  <c r="AJ147" i="1"/>
  <c r="AI147" i="1"/>
  <c r="AH147" i="1"/>
  <c r="AG147" i="1"/>
  <c r="AF147" i="1"/>
  <c r="AE147" i="1"/>
  <c r="Z147" i="1" s="1"/>
  <c r="AD147" i="1"/>
  <c r="AC147" i="1"/>
  <c r="X147" i="1" s="1"/>
  <c r="AB147" i="1"/>
  <c r="O147" i="1"/>
  <c r="AL146" i="1"/>
  <c r="AK146" i="1"/>
  <c r="AJ146" i="1"/>
  <c r="AI146" i="1"/>
  <c r="AH146" i="1"/>
  <c r="AG146" i="1"/>
  <c r="AF146" i="1"/>
  <c r="AE146" i="1"/>
  <c r="Z146" i="1" s="1"/>
  <c r="AD146" i="1"/>
  <c r="AC146" i="1"/>
  <c r="X146" i="1" s="1"/>
  <c r="AB146" i="1"/>
  <c r="O146" i="1"/>
  <c r="AL145" i="1"/>
  <c r="AK145" i="1"/>
  <c r="AJ145" i="1"/>
  <c r="AI145" i="1"/>
  <c r="AH145" i="1"/>
  <c r="AG145" i="1"/>
  <c r="AF145" i="1"/>
  <c r="AE145" i="1"/>
  <c r="Z145" i="1" s="1"/>
  <c r="AD145" i="1"/>
  <c r="AC145" i="1"/>
  <c r="X145" i="1" s="1"/>
  <c r="AB145" i="1"/>
  <c r="O145" i="1"/>
  <c r="AL144" i="1"/>
  <c r="AK144" i="1"/>
  <c r="AJ144" i="1"/>
  <c r="AI144" i="1"/>
  <c r="AH144" i="1"/>
  <c r="AG144" i="1"/>
  <c r="AF144" i="1"/>
  <c r="AE144" i="1"/>
  <c r="Z144" i="1" s="1"/>
  <c r="AD144" i="1"/>
  <c r="AC144" i="1"/>
  <c r="X144" i="1" s="1"/>
  <c r="AB144" i="1"/>
  <c r="O144" i="1"/>
  <c r="AL143" i="1"/>
  <c r="AK143" i="1"/>
  <c r="AJ143" i="1"/>
  <c r="AI143" i="1"/>
  <c r="AH143" i="1"/>
  <c r="AG143" i="1"/>
  <c r="AF143" i="1"/>
  <c r="AE143" i="1"/>
  <c r="Z143" i="1" s="1"/>
  <c r="AD143" i="1"/>
  <c r="AC143" i="1"/>
  <c r="X143" i="1" s="1"/>
  <c r="AB143" i="1"/>
  <c r="O143" i="1"/>
  <c r="AL142" i="1"/>
  <c r="AK142" i="1"/>
  <c r="AJ142" i="1"/>
  <c r="AI142" i="1"/>
  <c r="AH142" i="1"/>
  <c r="AG142" i="1"/>
  <c r="AF142" i="1"/>
  <c r="AE142" i="1"/>
  <c r="Z142" i="1" s="1"/>
  <c r="AD142" i="1"/>
  <c r="AC142" i="1"/>
  <c r="X142" i="1" s="1"/>
  <c r="AB142" i="1"/>
  <c r="O142" i="1"/>
  <c r="AL141" i="1"/>
  <c r="AK141" i="1"/>
  <c r="AJ141" i="1"/>
  <c r="AI141" i="1"/>
  <c r="AH141" i="1"/>
  <c r="AG141" i="1"/>
  <c r="AF141" i="1"/>
  <c r="AE141" i="1"/>
  <c r="Z141" i="1" s="1"/>
  <c r="AD141" i="1"/>
  <c r="AC141" i="1"/>
  <c r="X141" i="1" s="1"/>
  <c r="AB141" i="1"/>
  <c r="O141" i="1"/>
  <c r="AL140" i="1"/>
  <c r="AK140" i="1"/>
  <c r="AJ140" i="1"/>
  <c r="AI140" i="1"/>
  <c r="AH140" i="1"/>
  <c r="AG140" i="1"/>
  <c r="AF140" i="1"/>
  <c r="AE140" i="1"/>
  <c r="Z140" i="1" s="1"/>
  <c r="AD140" i="1"/>
  <c r="AC140" i="1"/>
  <c r="X140" i="1" s="1"/>
  <c r="AB140" i="1"/>
  <c r="O140" i="1"/>
  <c r="AL139" i="1"/>
  <c r="AK139" i="1"/>
  <c r="AJ139" i="1"/>
  <c r="AI139" i="1"/>
  <c r="AH139" i="1"/>
  <c r="AG139" i="1"/>
  <c r="AF139" i="1"/>
  <c r="AE139" i="1"/>
  <c r="Z139" i="1" s="1"/>
  <c r="AD139" i="1"/>
  <c r="AC139" i="1"/>
  <c r="X139" i="1" s="1"/>
  <c r="AB139" i="1"/>
  <c r="O139" i="1"/>
  <c r="AL138" i="1"/>
  <c r="AK138" i="1"/>
  <c r="AJ138" i="1"/>
  <c r="AI138" i="1"/>
  <c r="AH138" i="1"/>
  <c r="AG138" i="1"/>
  <c r="AF138" i="1"/>
  <c r="AE138" i="1"/>
  <c r="Z138" i="1" s="1"/>
  <c r="AD138" i="1"/>
  <c r="AC138" i="1"/>
  <c r="X138" i="1" s="1"/>
  <c r="AB138" i="1"/>
  <c r="O138" i="1"/>
  <c r="AL137" i="1"/>
  <c r="AK137" i="1"/>
  <c r="AJ137" i="1"/>
  <c r="AI137" i="1"/>
  <c r="AH137" i="1"/>
  <c r="AG137" i="1"/>
  <c r="AF137" i="1"/>
  <c r="AE137" i="1"/>
  <c r="AD137" i="1"/>
  <c r="AC137" i="1"/>
  <c r="AB137" i="1"/>
  <c r="X137" i="1"/>
  <c r="O137" i="1"/>
  <c r="AL136" i="1"/>
  <c r="AK136" i="1"/>
  <c r="AJ136" i="1"/>
  <c r="AI136" i="1"/>
  <c r="AH136" i="1"/>
  <c r="AG136" i="1"/>
  <c r="AF136" i="1"/>
  <c r="AE136" i="1"/>
  <c r="Z136" i="1" s="1"/>
  <c r="AD136" i="1"/>
  <c r="AC136" i="1"/>
  <c r="X136" i="1" s="1"/>
  <c r="AB136" i="1"/>
  <c r="O136" i="1"/>
  <c r="AL135" i="1"/>
  <c r="AK135" i="1"/>
  <c r="AJ135" i="1"/>
  <c r="AI135" i="1"/>
  <c r="AH135" i="1"/>
  <c r="AG135" i="1"/>
  <c r="AF135" i="1"/>
  <c r="AE135" i="1"/>
  <c r="Z135" i="1" s="1"/>
  <c r="AD135" i="1"/>
  <c r="AC135" i="1"/>
  <c r="X135" i="1" s="1"/>
  <c r="AB135" i="1"/>
  <c r="O135" i="1"/>
  <c r="AL134" i="1"/>
  <c r="AK134" i="1"/>
  <c r="Z134" i="1" s="1"/>
  <c r="AJ134" i="1"/>
  <c r="AI134" i="1"/>
  <c r="AH134" i="1"/>
  <c r="AG134" i="1"/>
  <c r="AF134" i="1"/>
  <c r="AE134" i="1"/>
  <c r="AD134" i="1"/>
  <c r="AC134" i="1"/>
  <c r="X134" i="1" s="1"/>
  <c r="AB134" i="1"/>
  <c r="O134" i="1"/>
  <c r="AL133" i="1"/>
  <c r="AK133" i="1"/>
  <c r="AJ133" i="1"/>
  <c r="AI133" i="1"/>
  <c r="AH133" i="1"/>
  <c r="AG133" i="1"/>
  <c r="AF133" i="1"/>
  <c r="AE133" i="1"/>
  <c r="AD133" i="1"/>
  <c r="AC133" i="1"/>
  <c r="AB133" i="1"/>
  <c r="Z133" i="1"/>
  <c r="X133" i="1"/>
  <c r="O133" i="1"/>
  <c r="AL132" i="1"/>
  <c r="AK132" i="1"/>
  <c r="AJ132" i="1"/>
  <c r="AI132" i="1"/>
  <c r="AH132" i="1"/>
  <c r="AG132" i="1"/>
  <c r="AF132" i="1"/>
  <c r="AE132" i="1"/>
  <c r="AD132" i="1"/>
  <c r="AC132" i="1"/>
  <c r="X132" i="1" s="1"/>
  <c r="AB132" i="1"/>
  <c r="Z132" i="1"/>
  <c r="O132" i="1"/>
  <c r="AL131" i="1"/>
  <c r="AK131" i="1"/>
  <c r="AJ131" i="1"/>
  <c r="AI131" i="1"/>
  <c r="AH131" i="1"/>
  <c r="AG131" i="1"/>
  <c r="AF131" i="1"/>
  <c r="AE131" i="1"/>
  <c r="AD131" i="1"/>
  <c r="AC131" i="1"/>
  <c r="X131" i="1" s="1"/>
  <c r="AB131" i="1"/>
  <c r="Z131" i="1"/>
  <c r="O131" i="1"/>
  <c r="AL130" i="1"/>
  <c r="AK130" i="1"/>
  <c r="AJ130" i="1"/>
  <c r="AI130" i="1"/>
  <c r="AH130" i="1"/>
  <c r="AG130" i="1"/>
  <c r="AF130" i="1"/>
  <c r="AE130" i="1"/>
  <c r="AD130" i="1"/>
  <c r="AC130" i="1"/>
  <c r="AB130" i="1"/>
  <c r="Z130" i="1"/>
  <c r="X130" i="1"/>
  <c r="K10" i="1" s="1"/>
  <c r="O130" i="1"/>
  <c r="AL129" i="1"/>
  <c r="AK129" i="1"/>
  <c r="AJ129" i="1"/>
  <c r="AI129" i="1"/>
  <c r="AH129" i="1"/>
  <c r="AG129" i="1"/>
  <c r="AF129" i="1"/>
  <c r="AE129" i="1"/>
  <c r="AD129" i="1"/>
  <c r="AC129" i="1"/>
  <c r="AB129" i="1"/>
  <c r="Z129" i="1"/>
  <c r="X129" i="1"/>
  <c r="O129" i="1"/>
  <c r="AL128" i="1"/>
  <c r="AK128" i="1"/>
  <c r="AJ128" i="1"/>
  <c r="AI128" i="1"/>
  <c r="AH128" i="1"/>
  <c r="AG128" i="1"/>
  <c r="AF128" i="1"/>
  <c r="AE128" i="1"/>
  <c r="AD128" i="1"/>
  <c r="AC128" i="1"/>
  <c r="X128" i="1" s="1"/>
  <c r="AB128" i="1"/>
  <c r="Z128" i="1"/>
  <c r="O128" i="1"/>
  <c r="AL127" i="1"/>
  <c r="AK127" i="1"/>
  <c r="AJ127" i="1"/>
  <c r="AI127" i="1"/>
  <c r="AH127" i="1"/>
  <c r="AG127" i="1"/>
  <c r="AF127" i="1"/>
  <c r="AE127" i="1"/>
  <c r="AD127" i="1"/>
  <c r="AC127" i="1"/>
  <c r="X127" i="1" s="1"/>
  <c r="AB127" i="1"/>
  <c r="Z127" i="1"/>
  <c r="O127" i="1"/>
  <c r="AL126" i="1"/>
  <c r="AK126" i="1"/>
  <c r="AJ126" i="1"/>
  <c r="AI126" i="1"/>
  <c r="AH126" i="1"/>
  <c r="AG126" i="1"/>
  <c r="AF126" i="1"/>
  <c r="AE126" i="1"/>
  <c r="AD126" i="1"/>
  <c r="AC126" i="1"/>
  <c r="X126" i="1" s="1"/>
  <c r="AB126" i="1"/>
  <c r="Z126" i="1"/>
  <c r="O126" i="1"/>
  <c r="AL125" i="1"/>
  <c r="AK125" i="1"/>
  <c r="AJ125" i="1"/>
  <c r="AI125" i="1"/>
  <c r="AH125" i="1"/>
  <c r="AG125" i="1"/>
  <c r="AF125" i="1"/>
  <c r="AE125" i="1"/>
  <c r="AD125" i="1"/>
  <c r="AC125" i="1"/>
  <c r="X125" i="1" s="1"/>
  <c r="AB125" i="1"/>
  <c r="Z125" i="1"/>
  <c r="O125" i="1"/>
  <c r="AL124" i="1"/>
  <c r="AK124" i="1"/>
  <c r="AJ124" i="1"/>
  <c r="AI124" i="1"/>
  <c r="AH124" i="1"/>
  <c r="AG124" i="1"/>
  <c r="AF124" i="1"/>
  <c r="AE124" i="1"/>
  <c r="AD124" i="1"/>
  <c r="AC124" i="1"/>
  <c r="AB124" i="1"/>
  <c r="X124" i="1"/>
  <c r="O124" i="1"/>
  <c r="AL123" i="1"/>
  <c r="AK123" i="1"/>
  <c r="AJ123" i="1"/>
  <c r="AI123" i="1"/>
  <c r="AH123" i="1"/>
  <c r="AG123" i="1"/>
  <c r="AF123" i="1"/>
  <c r="AE123" i="1"/>
  <c r="AD123" i="1"/>
  <c r="AC123" i="1"/>
  <c r="AB123" i="1"/>
  <c r="Z123" i="1"/>
  <c r="X123" i="1"/>
  <c r="O123" i="1"/>
  <c r="AL122" i="1"/>
  <c r="AK122" i="1"/>
  <c r="AJ122" i="1"/>
  <c r="AI122" i="1"/>
  <c r="AH122" i="1"/>
  <c r="AG122" i="1"/>
  <c r="AF122" i="1"/>
  <c r="AE122" i="1"/>
  <c r="AD122" i="1"/>
  <c r="AC122" i="1"/>
  <c r="AB122" i="1"/>
  <c r="Z122" i="1"/>
  <c r="X122" i="1"/>
  <c r="O122" i="1"/>
  <c r="AL121" i="1"/>
  <c r="AK121" i="1"/>
  <c r="AJ121" i="1"/>
  <c r="AI121" i="1"/>
  <c r="AH121" i="1"/>
  <c r="AG121" i="1"/>
  <c r="AF121" i="1"/>
  <c r="AE121" i="1"/>
  <c r="AD121" i="1"/>
  <c r="AC121" i="1"/>
  <c r="AB121" i="1"/>
  <c r="Z121" i="1"/>
  <c r="X121" i="1"/>
  <c r="O121" i="1"/>
  <c r="AL120" i="1"/>
  <c r="AK120" i="1"/>
  <c r="AJ120" i="1"/>
  <c r="AI120" i="1"/>
  <c r="AH120" i="1"/>
  <c r="AG120" i="1"/>
  <c r="AF120" i="1"/>
  <c r="AE120" i="1"/>
  <c r="AD120" i="1"/>
  <c r="AC120" i="1"/>
  <c r="AB120" i="1"/>
  <c r="Z120" i="1"/>
  <c r="X120" i="1"/>
  <c r="O120" i="1"/>
  <c r="AL119" i="1"/>
  <c r="AK119" i="1"/>
  <c r="AJ119" i="1"/>
  <c r="AI119" i="1"/>
  <c r="AH119" i="1"/>
  <c r="AG119" i="1"/>
  <c r="AF119" i="1"/>
  <c r="AE119" i="1"/>
  <c r="AD119" i="1"/>
  <c r="AC119" i="1"/>
  <c r="AB119" i="1"/>
  <c r="Z119" i="1"/>
  <c r="X119" i="1"/>
  <c r="O119" i="1"/>
  <c r="AL118" i="1"/>
  <c r="AK118" i="1"/>
  <c r="AJ118" i="1"/>
  <c r="AI118" i="1"/>
  <c r="AH118" i="1"/>
  <c r="AG118" i="1"/>
  <c r="AF118" i="1"/>
  <c r="AE118" i="1"/>
  <c r="AD118" i="1"/>
  <c r="AC118" i="1"/>
  <c r="AB118" i="1"/>
  <c r="X118" i="1"/>
  <c r="O118" i="1"/>
  <c r="AL117" i="1"/>
  <c r="AK117" i="1"/>
  <c r="AJ117" i="1"/>
  <c r="AI117" i="1"/>
  <c r="AH117" i="1"/>
  <c r="AG117" i="1"/>
  <c r="AF117" i="1"/>
  <c r="AE117" i="1"/>
  <c r="Z117" i="1" s="1"/>
  <c r="AD117" i="1"/>
  <c r="AC117" i="1"/>
  <c r="AB117" i="1"/>
  <c r="X117" i="1"/>
  <c r="O117" i="1"/>
  <c r="AL116" i="1"/>
  <c r="AK116" i="1"/>
  <c r="AJ116" i="1"/>
  <c r="AI116" i="1"/>
  <c r="AH116" i="1"/>
  <c r="AG116" i="1"/>
  <c r="AF116" i="1"/>
  <c r="AE116" i="1"/>
  <c r="Z116" i="1" s="1"/>
  <c r="AD116" i="1"/>
  <c r="AC116" i="1"/>
  <c r="AB116" i="1"/>
  <c r="X116" i="1"/>
  <c r="O116" i="1"/>
  <c r="AL115" i="1"/>
  <c r="AK115" i="1"/>
  <c r="AJ115" i="1"/>
  <c r="AI115" i="1"/>
  <c r="AH115" i="1"/>
  <c r="AG115" i="1"/>
  <c r="AF115" i="1"/>
  <c r="AE115" i="1"/>
  <c r="AD115" i="1"/>
  <c r="AC115" i="1"/>
  <c r="AB115" i="1"/>
  <c r="Z115" i="1"/>
  <c r="X115" i="1"/>
  <c r="O115" i="1"/>
  <c r="AL114" i="1"/>
  <c r="AK114" i="1"/>
  <c r="AJ114" i="1"/>
  <c r="AI114" i="1"/>
  <c r="AH114" i="1"/>
  <c r="AG114" i="1"/>
  <c r="AF114" i="1"/>
  <c r="AE114" i="1"/>
  <c r="AD114" i="1"/>
  <c r="X114" i="1" s="1"/>
  <c r="AC114" i="1"/>
  <c r="AB114" i="1"/>
  <c r="O114" i="1"/>
  <c r="AL113" i="1"/>
  <c r="AK113" i="1"/>
  <c r="AJ113" i="1"/>
  <c r="AI113" i="1"/>
  <c r="AH113" i="1"/>
  <c r="AG113" i="1"/>
  <c r="AF113" i="1"/>
  <c r="AE113" i="1"/>
  <c r="AD113" i="1"/>
  <c r="AC113" i="1"/>
  <c r="AB113" i="1"/>
  <c r="Z113" i="1"/>
  <c r="X113" i="1"/>
  <c r="O113" i="1"/>
  <c r="AL112" i="1"/>
  <c r="AK112" i="1"/>
  <c r="AJ112" i="1"/>
  <c r="AI112" i="1"/>
  <c r="AH112" i="1"/>
  <c r="AG112" i="1"/>
  <c r="AF112" i="1"/>
  <c r="AE112" i="1"/>
  <c r="Z112" i="1" s="1"/>
  <c r="AD112" i="1"/>
  <c r="AC112" i="1"/>
  <c r="X112" i="1" s="1"/>
  <c r="AB112" i="1"/>
  <c r="O112" i="1"/>
  <c r="AL111" i="1"/>
  <c r="AK111" i="1"/>
  <c r="AJ111" i="1"/>
  <c r="AI111" i="1"/>
  <c r="AH111" i="1"/>
  <c r="AG111" i="1"/>
  <c r="AF111" i="1"/>
  <c r="AE111" i="1"/>
  <c r="Z111" i="1" s="1"/>
  <c r="AD111" i="1"/>
  <c r="AC111" i="1"/>
  <c r="AB111" i="1"/>
  <c r="X111" i="1"/>
  <c r="O111" i="1"/>
  <c r="AL110" i="1"/>
  <c r="AK110" i="1"/>
  <c r="AJ110" i="1"/>
  <c r="AI110" i="1"/>
  <c r="AH110" i="1"/>
  <c r="AG110" i="1"/>
  <c r="AF110" i="1"/>
  <c r="AE110" i="1"/>
  <c r="AD110" i="1"/>
  <c r="AC110" i="1"/>
  <c r="AB110" i="1"/>
  <c r="X110" i="1"/>
  <c r="O110" i="1"/>
  <c r="AL109" i="1"/>
  <c r="AK109" i="1"/>
  <c r="AJ109" i="1"/>
  <c r="AI109" i="1"/>
  <c r="AH109" i="1"/>
  <c r="AG109" i="1"/>
  <c r="AF109" i="1"/>
  <c r="AE109" i="1"/>
  <c r="Z109" i="1" s="1"/>
  <c r="AD109" i="1"/>
  <c r="AC109" i="1"/>
  <c r="AB109" i="1"/>
  <c r="X109" i="1"/>
  <c r="O109" i="1"/>
  <c r="AL108" i="1"/>
  <c r="AK108" i="1"/>
  <c r="AJ108" i="1"/>
  <c r="AI108" i="1"/>
  <c r="AH108" i="1"/>
  <c r="AG108" i="1"/>
  <c r="AF108" i="1"/>
  <c r="AE108" i="1"/>
  <c r="AD108" i="1"/>
  <c r="AC108" i="1"/>
  <c r="X108" i="1" s="1"/>
  <c r="AB108" i="1"/>
  <c r="Z108" i="1"/>
  <c r="O108" i="1"/>
  <c r="AL107" i="1"/>
  <c r="AK107" i="1"/>
  <c r="AJ107" i="1"/>
  <c r="AI107" i="1"/>
  <c r="AH107" i="1"/>
  <c r="AG107" i="1"/>
  <c r="AF107" i="1"/>
  <c r="AE107" i="1"/>
  <c r="AD107" i="1"/>
  <c r="AC107" i="1"/>
  <c r="X107" i="1" s="1"/>
  <c r="AB107" i="1"/>
  <c r="O107" i="1"/>
  <c r="AL106" i="1"/>
  <c r="AK106" i="1"/>
  <c r="AJ106" i="1"/>
  <c r="AI106" i="1"/>
  <c r="AH106" i="1"/>
  <c r="AG106" i="1"/>
  <c r="AF106" i="1"/>
  <c r="AE106" i="1"/>
  <c r="AD106" i="1"/>
  <c r="AC106" i="1"/>
  <c r="X106" i="1" s="1"/>
  <c r="AB106" i="1"/>
  <c r="O106" i="1"/>
  <c r="AL105" i="1"/>
  <c r="AK105" i="1"/>
  <c r="AJ105" i="1"/>
  <c r="AI105" i="1"/>
  <c r="AH105" i="1"/>
  <c r="AG105" i="1"/>
  <c r="AF105" i="1"/>
  <c r="AE105" i="1"/>
  <c r="AD105" i="1"/>
  <c r="AC105" i="1"/>
  <c r="X105" i="1" s="1"/>
  <c r="AB105" i="1"/>
  <c r="Z105" i="1"/>
  <c r="O105" i="1"/>
  <c r="AL104" i="1"/>
  <c r="AK104" i="1"/>
  <c r="AJ104" i="1"/>
  <c r="AI104" i="1"/>
  <c r="AH104" i="1"/>
  <c r="AG104" i="1"/>
  <c r="AF104" i="1"/>
  <c r="AE104" i="1"/>
  <c r="AD104" i="1"/>
  <c r="AC104" i="1"/>
  <c r="AB104" i="1"/>
  <c r="O104" i="1"/>
  <c r="AL103" i="1"/>
  <c r="AK103" i="1"/>
  <c r="AJ103" i="1"/>
  <c r="AI103" i="1"/>
  <c r="AH103" i="1"/>
  <c r="AG103" i="1"/>
  <c r="AF103" i="1"/>
  <c r="AE103" i="1"/>
  <c r="AD103" i="1"/>
  <c r="AC103" i="1"/>
  <c r="AB103" i="1"/>
  <c r="Z103" i="1"/>
  <c r="O103" i="1"/>
  <c r="AL102" i="1"/>
  <c r="AK102" i="1"/>
  <c r="AJ102" i="1"/>
  <c r="AI102" i="1"/>
  <c r="AH102" i="1"/>
  <c r="AG102" i="1"/>
  <c r="AF102" i="1"/>
  <c r="AE102" i="1"/>
  <c r="Z102" i="1" s="1"/>
  <c r="AD102" i="1"/>
  <c r="AC102" i="1"/>
  <c r="X102" i="1" s="1"/>
  <c r="AB102" i="1"/>
  <c r="O102" i="1"/>
  <c r="AL101" i="1"/>
  <c r="AK101" i="1"/>
  <c r="AJ101" i="1"/>
  <c r="AI101" i="1"/>
  <c r="AH101" i="1"/>
  <c r="AG101" i="1"/>
  <c r="AF101" i="1"/>
  <c r="AE101" i="1"/>
  <c r="AD101" i="1"/>
  <c r="AC101" i="1"/>
  <c r="X101" i="1" s="1"/>
  <c r="AB101" i="1"/>
  <c r="Z101" i="1"/>
  <c r="O101" i="1"/>
  <c r="AL100" i="1"/>
  <c r="AK100" i="1"/>
  <c r="AJ100" i="1"/>
  <c r="AI100" i="1"/>
  <c r="AH100" i="1"/>
  <c r="AG100" i="1"/>
  <c r="AF100" i="1"/>
  <c r="AE100" i="1"/>
  <c r="Z100" i="1" s="1"/>
  <c r="AD100" i="1"/>
  <c r="AC100" i="1"/>
  <c r="X100" i="1" s="1"/>
  <c r="AB100" i="1"/>
  <c r="O100" i="1"/>
  <c r="AL99" i="1"/>
  <c r="AK99" i="1"/>
  <c r="AJ99" i="1"/>
  <c r="AI99" i="1"/>
  <c r="AH99" i="1"/>
  <c r="AG99" i="1"/>
  <c r="AF99" i="1"/>
  <c r="AE99" i="1"/>
  <c r="AD99" i="1"/>
  <c r="AC99" i="1"/>
  <c r="X99" i="1" s="1"/>
  <c r="AB99" i="1"/>
  <c r="Z99" i="1"/>
  <c r="O99" i="1"/>
  <c r="AL98" i="1"/>
  <c r="AK98" i="1"/>
  <c r="AJ98" i="1"/>
  <c r="AI98" i="1"/>
  <c r="AH98" i="1"/>
  <c r="AG98" i="1"/>
  <c r="AF98" i="1"/>
  <c r="AE98" i="1"/>
  <c r="AD98" i="1"/>
  <c r="AC98" i="1"/>
  <c r="X98" i="1" s="1"/>
  <c r="K9" i="1" s="1"/>
  <c r="AB98" i="1"/>
  <c r="Z98" i="1"/>
  <c r="O98" i="1"/>
  <c r="AU97" i="1"/>
  <c r="AL97" i="1"/>
  <c r="AK97" i="1"/>
  <c r="AJ97" i="1"/>
  <c r="AI97" i="1"/>
  <c r="AH97" i="1"/>
  <c r="AG97" i="1"/>
  <c r="AF97" i="1"/>
  <c r="AE97" i="1"/>
  <c r="AD97" i="1"/>
  <c r="AC97" i="1"/>
  <c r="X97" i="1" s="1"/>
  <c r="AB97" i="1"/>
  <c r="Z97" i="1"/>
  <c r="O97" i="1"/>
  <c r="AU96" i="1"/>
  <c r="AL96" i="1"/>
  <c r="AK96" i="1"/>
  <c r="AJ96" i="1"/>
  <c r="AI96" i="1"/>
  <c r="AH96" i="1"/>
  <c r="AG96" i="1"/>
  <c r="AF96" i="1"/>
  <c r="AE96" i="1"/>
  <c r="AD96" i="1"/>
  <c r="AC96" i="1"/>
  <c r="X96" i="1" s="1"/>
  <c r="AB96" i="1"/>
  <c r="O96" i="1"/>
  <c r="AU95" i="1"/>
  <c r="AL95" i="1"/>
  <c r="AK95" i="1"/>
  <c r="AJ95" i="1"/>
  <c r="AI95" i="1"/>
  <c r="AH95" i="1"/>
  <c r="AG95" i="1"/>
  <c r="AF95" i="1"/>
  <c r="AE95" i="1"/>
  <c r="AD95" i="1"/>
  <c r="AC95" i="1"/>
  <c r="X95" i="1" s="1"/>
  <c r="AB95" i="1"/>
  <c r="Z95" i="1"/>
  <c r="O95" i="1"/>
  <c r="AU94" i="1"/>
  <c r="AL94" i="1"/>
  <c r="AK94" i="1"/>
  <c r="AJ94" i="1"/>
  <c r="AI94" i="1"/>
  <c r="AH94" i="1"/>
  <c r="AG94" i="1"/>
  <c r="AF94" i="1"/>
  <c r="AE94" i="1"/>
  <c r="AD94" i="1"/>
  <c r="AC94" i="1"/>
  <c r="X94" i="1" s="1"/>
  <c r="AB94" i="1"/>
  <c r="Z94" i="1"/>
  <c r="O94" i="1"/>
  <c r="AU93" i="1"/>
  <c r="AL93" i="1"/>
  <c r="AK93" i="1"/>
  <c r="AJ93" i="1"/>
  <c r="AI93" i="1"/>
  <c r="AH93" i="1"/>
  <c r="AG93" i="1"/>
  <c r="AF93" i="1"/>
  <c r="AE93" i="1"/>
  <c r="AD93" i="1"/>
  <c r="AC93" i="1"/>
  <c r="X93" i="1" s="1"/>
  <c r="AB93" i="1"/>
  <c r="Z93" i="1"/>
  <c r="O93" i="1"/>
  <c r="AU92" i="1"/>
  <c r="AL92" i="1"/>
  <c r="AK92" i="1"/>
  <c r="AJ92" i="1"/>
  <c r="AI92" i="1"/>
  <c r="AH92" i="1"/>
  <c r="AG92" i="1"/>
  <c r="AF92" i="1"/>
  <c r="AE92" i="1"/>
  <c r="AD92" i="1"/>
  <c r="AC92" i="1"/>
  <c r="X92" i="1" s="1"/>
  <c r="AB92" i="1"/>
  <c r="O92" i="1"/>
  <c r="AU91" i="1"/>
  <c r="AL91" i="1"/>
  <c r="AK91" i="1"/>
  <c r="AJ91" i="1"/>
  <c r="AI91" i="1"/>
  <c r="AH91" i="1"/>
  <c r="AG91" i="1"/>
  <c r="AF91" i="1"/>
  <c r="AE91" i="1"/>
  <c r="Z91" i="1" s="1"/>
  <c r="AD91" i="1"/>
  <c r="AC91" i="1"/>
  <c r="X91" i="1" s="1"/>
  <c r="AB91" i="1"/>
  <c r="O91" i="1"/>
  <c r="AU90" i="1"/>
  <c r="AL90" i="1"/>
  <c r="AK90" i="1"/>
  <c r="AJ90" i="1"/>
  <c r="AI90" i="1"/>
  <c r="AH90" i="1"/>
  <c r="AG90" i="1"/>
  <c r="AF90" i="1"/>
  <c r="AE90" i="1"/>
  <c r="Z90" i="1" s="1"/>
  <c r="AD90" i="1"/>
  <c r="AC90" i="1"/>
  <c r="X90" i="1" s="1"/>
  <c r="AB90" i="1"/>
  <c r="O90" i="1"/>
  <c r="AU89" i="1"/>
  <c r="AL89" i="1"/>
  <c r="AK89" i="1"/>
  <c r="AJ89" i="1"/>
  <c r="AI89" i="1"/>
  <c r="AH89" i="1"/>
  <c r="AG89" i="1"/>
  <c r="AF89" i="1"/>
  <c r="AE89" i="1"/>
  <c r="AD89" i="1"/>
  <c r="AC89" i="1"/>
  <c r="X89" i="1" s="1"/>
  <c r="AB89" i="1"/>
  <c r="Z89" i="1"/>
  <c r="O89" i="1"/>
  <c r="AU88" i="1"/>
  <c r="AL88" i="1"/>
  <c r="AK88" i="1"/>
  <c r="AJ88" i="1"/>
  <c r="AI88" i="1"/>
  <c r="AH88" i="1"/>
  <c r="AG88" i="1"/>
  <c r="AF88" i="1"/>
  <c r="AE88" i="1"/>
  <c r="AD88" i="1"/>
  <c r="AC88" i="1"/>
  <c r="X88" i="1" s="1"/>
  <c r="AB88" i="1"/>
  <c r="O88" i="1"/>
  <c r="AU87" i="1"/>
  <c r="AL87" i="1"/>
  <c r="AK87" i="1"/>
  <c r="AJ87" i="1"/>
  <c r="AI87" i="1"/>
  <c r="AH87" i="1"/>
  <c r="AG87" i="1"/>
  <c r="AF87" i="1"/>
  <c r="AE87" i="1"/>
  <c r="AD87" i="1"/>
  <c r="AC87" i="1"/>
  <c r="X87" i="1" s="1"/>
  <c r="AB87" i="1"/>
  <c r="Z87" i="1"/>
  <c r="O87" i="1"/>
  <c r="AU86" i="1"/>
  <c r="AL86" i="1"/>
  <c r="AK86" i="1"/>
  <c r="AJ86" i="1"/>
  <c r="AI86" i="1"/>
  <c r="AH86" i="1"/>
  <c r="AG86" i="1"/>
  <c r="AF86" i="1"/>
  <c r="AE86" i="1"/>
  <c r="AD86" i="1"/>
  <c r="AC86" i="1"/>
  <c r="X86" i="1" s="1"/>
  <c r="AB86" i="1"/>
  <c r="Z86" i="1"/>
  <c r="O86" i="1"/>
  <c r="AU85" i="1"/>
  <c r="AL85" i="1"/>
  <c r="AK85" i="1"/>
  <c r="AJ85" i="1"/>
  <c r="AI85" i="1"/>
  <c r="AH85" i="1"/>
  <c r="AG85" i="1"/>
  <c r="AF85" i="1"/>
  <c r="AE85" i="1"/>
  <c r="AD85" i="1"/>
  <c r="AC85" i="1"/>
  <c r="X85" i="1" s="1"/>
  <c r="AB85" i="1"/>
  <c r="Z85" i="1"/>
  <c r="O85" i="1"/>
  <c r="AU84" i="1"/>
  <c r="AL84" i="1"/>
  <c r="AK84" i="1"/>
  <c r="AJ84" i="1"/>
  <c r="AI84" i="1"/>
  <c r="AH84" i="1"/>
  <c r="AG84" i="1"/>
  <c r="AF84" i="1"/>
  <c r="AE84" i="1"/>
  <c r="AD84" i="1"/>
  <c r="AC84" i="1"/>
  <c r="X84" i="1" s="1"/>
  <c r="AB84" i="1"/>
  <c r="Z84" i="1"/>
  <c r="O84" i="1"/>
  <c r="AU83" i="1"/>
  <c r="AL83" i="1"/>
  <c r="AK83" i="1"/>
  <c r="AJ83" i="1"/>
  <c r="AI83" i="1"/>
  <c r="AH83" i="1"/>
  <c r="AG83" i="1"/>
  <c r="AF83" i="1"/>
  <c r="AE83" i="1"/>
  <c r="Z83" i="1" s="1"/>
  <c r="AD83" i="1"/>
  <c r="AC83" i="1"/>
  <c r="X83" i="1" s="1"/>
  <c r="AB83" i="1"/>
  <c r="O83" i="1"/>
  <c r="AL82" i="1"/>
  <c r="AK82" i="1"/>
  <c r="AJ82" i="1"/>
  <c r="AI82" i="1"/>
  <c r="AH82" i="1"/>
  <c r="AG82" i="1"/>
  <c r="AF82" i="1"/>
  <c r="AE82" i="1"/>
  <c r="AD82" i="1"/>
  <c r="AC82" i="1"/>
  <c r="X82" i="1" s="1"/>
  <c r="AB82" i="1"/>
  <c r="O82" i="1"/>
  <c r="AL81" i="1"/>
  <c r="AK81" i="1"/>
  <c r="AJ81" i="1"/>
  <c r="AI81" i="1"/>
  <c r="AH81" i="1"/>
  <c r="AG81" i="1"/>
  <c r="AF81" i="1"/>
  <c r="AE81" i="1"/>
  <c r="AD81" i="1"/>
  <c r="AC81" i="1"/>
  <c r="X81" i="1" s="1"/>
  <c r="AB81" i="1"/>
  <c r="Z81" i="1"/>
  <c r="O81" i="1"/>
  <c r="AL80" i="1"/>
  <c r="AK80" i="1"/>
  <c r="AJ80" i="1"/>
  <c r="AI80" i="1"/>
  <c r="AH80" i="1"/>
  <c r="AG80" i="1"/>
  <c r="AF80" i="1"/>
  <c r="AE80" i="1"/>
  <c r="Z80" i="1" s="1"/>
  <c r="AD80" i="1"/>
  <c r="AC80" i="1"/>
  <c r="X80" i="1" s="1"/>
  <c r="AB80" i="1"/>
  <c r="O80" i="1"/>
  <c r="AL79" i="1"/>
  <c r="AK79" i="1"/>
  <c r="AJ79" i="1"/>
  <c r="AI79" i="1"/>
  <c r="AH79" i="1"/>
  <c r="AG79" i="1"/>
  <c r="AF79" i="1"/>
  <c r="AE79" i="1"/>
  <c r="AD79" i="1"/>
  <c r="AC79" i="1"/>
  <c r="X79" i="1" s="1"/>
  <c r="AB79" i="1"/>
  <c r="Z79" i="1"/>
  <c r="O79" i="1"/>
  <c r="AL78" i="1"/>
  <c r="AK78" i="1"/>
  <c r="AJ78" i="1"/>
  <c r="AI78" i="1"/>
  <c r="AH78" i="1"/>
  <c r="AG78" i="1"/>
  <c r="AF78" i="1"/>
  <c r="AE78" i="1"/>
  <c r="AD78" i="1"/>
  <c r="AC78" i="1"/>
  <c r="X78" i="1" s="1"/>
  <c r="AB78" i="1"/>
  <c r="Z78" i="1"/>
  <c r="O78" i="1"/>
  <c r="AL77" i="1"/>
  <c r="AK77" i="1"/>
  <c r="AJ77" i="1"/>
  <c r="AI77" i="1"/>
  <c r="AH77" i="1"/>
  <c r="AG77" i="1"/>
  <c r="AF77" i="1"/>
  <c r="AE77" i="1"/>
  <c r="AD77" i="1"/>
  <c r="AC77" i="1"/>
  <c r="X77" i="1" s="1"/>
  <c r="AB77" i="1"/>
  <c r="Z77" i="1"/>
  <c r="O77" i="1"/>
  <c r="AL76" i="1"/>
  <c r="AK76" i="1"/>
  <c r="AJ76" i="1"/>
  <c r="AI76" i="1"/>
  <c r="AH76" i="1"/>
  <c r="AG76" i="1"/>
  <c r="AF76" i="1"/>
  <c r="AE76" i="1"/>
  <c r="Z76" i="1" s="1"/>
  <c r="AD76" i="1"/>
  <c r="AC76" i="1"/>
  <c r="X76" i="1" s="1"/>
  <c r="AB76" i="1"/>
  <c r="O76" i="1"/>
  <c r="AL75" i="1"/>
  <c r="AK75" i="1"/>
  <c r="AJ75" i="1"/>
  <c r="AI75" i="1"/>
  <c r="AH75" i="1"/>
  <c r="AG75" i="1"/>
  <c r="AF75" i="1"/>
  <c r="AE75" i="1"/>
  <c r="AD75" i="1"/>
  <c r="AC75" i="1"/>
  <c r="X75" i="1" s="1"/>
  <c r="AB75" i="1"/>
  <c r="O75" i="1"/>
  <c r="AL74" i="1"/>
  <c r="AK74" i="1"/>
  <c r="AJ74" i="1"/>
  <c r="AI74" i="1"/>
  <c r="AH74" i="1"/>
  <c r="AG74" i="1"/>
  <c r="AF74" i="1"/>
  <c r="AE74" i="1"/>
  <c r="Z74" i="1" s="1"/>
  <c r="AD74" i="1"/>
  <c r="AC74" i="1"/>
  <c r="X74" i="1" s="1"/>
  <c r="AB74" i="1"/>
  <c r="O74" i="1"/>
  <c r="AL73" i="1"/>
  <c r="AK73" i="1"/>
  <c r="AJ73" i="1"/>
  <c r="AI73" i="1"/>
  <c r="AH73" i="1"/>
  <c r="AG73" i="1"/>
  <c r="AF73" i="1"/>
  <c r="AE73" i="1"/>
  <c r="AD73" i="1"/>
  <c r="AC73" i="1"/>
  <c r="X73" i="1" s="1"/>
  <c r="AB73" i="1"/>
  <c r="Z73" i="1"/>
  <c r="O73" i="1"/>
  <c r="AL72" i="1"/>
  <c r="AK72" i="1"/>
  <c r="AJ72" i="1"/>
  <c r="AI72" i="1"/>
  <c r="AH72" i="1"/>
  <c r="AG72" i="1"/>
  <c r="AF72" i="1"/>
  <c r="AE72" i="1"/>
  <c r="Z72" i="1" s="1"/>
  <c r="AD72" i="1"/>
  <c r="AC72" i="1"/>
  <c r="X72" i="1" s="1"/>
  <c r="AB72" i="1"/>
  <c r="O72" i="1"/>
  <c r="AL71" i="1"/>
  <c r="AK71" i="1"/>
  <c r="AJ71" i="1"/>
  <c r="AI71" i="1"/>
  <c r="AH71" i="1"/>
  <c r="AG71" i="1"/>
  <c r="AF71" i="1"/>
  <c r="AE71" i="1"/>
  <c r="AD71" i="1"/>
  <c r="AC71" i="1"/>
  <c r="X71" i="1" s="1"/>
  <c r="AB71" i="1"/>
  <c r="Z71" i="1"/>
  <c r="O71" i="1"/>
  <c r="AL70" i="1"/>
  <c r="AK70" i="1"/>
  <c r="AJ70" i="1"/>
  <c r="AI70" i="1"/>
  <c r="AH70" i="1"/>
  <c r="AG70" i="1"/>
  <c r="AF70" i="1"/>
  <c r="AE70" i="1"/>
  <c r="Z70" i="1" s="1"/>
  <c r="AD70" i="1"/>
  <c r="AC70" i="1"/>
  <c r="X70" i="1" s="1"/>
  <c r="AB70" i="1"/>
  <c r="O70" i="1"/>
  <c r="AL69" i="1"/>
  <c r="AK69" i="1"/>
  <c r="AJ69" i="1"/>
  <c r="AI69" i="1"/>
  <c r="AH69" i="1"/>
  <c r="AG69" i="1"/>
  <c r="AF69" i="1"/>
  <c r="AE69" i="1"/>
  <c r="AD69" i="1"/>
  <c r="AC69" i="1"/>
  <c r="X69" i="1" s="1"/>
  <c r="AB69" i="1"/>
  <c r="O69" i="1"/>
  <c r="AL68" i="1"/>
  <c r="AK68" i="1"/>
  <c r="AJ68" i="1"/>
  <c r="AI68" i="1"/>
  <c r="AH68" i="1"/>
  <c r="AG68" i="1"/>
  <c r="AF68" i="1"/>
  <c r="AE68" i="1"/>
  <c r="Z68" i="1" s="1"/>
  <c r="AD68" i="1"/>
  <c r="AC68" i="1"/>
  <c r="X68" i="1" s="1"/>
  <c r="AB68" i="1"/>
  <c r="O68" i="1"/>
  <c r="AL67" i="1"/>
  <c r="AK67" i="1"/>
  <c r="AJ67" i="1"/>
  <c r="AI67" i="1"/>
  <c r="AH67" i="1"/>
  <c r="AG67" i="1"/>
  <c r="AF67" i="1"/>
  <c r="AE67" i="1"/>
  <c r="Z67" i="1" s="1"/>
  <c r="AD67" i="1"/>
  <c r="AC67" i="1"/>
  <c r="X67" i="1" s="1"/>
  <c r="AB67" i="1"/>
  <c r="O67" i="1"/>
  <c r="AL66" i="1"/>
  <c r="AK66" i="1"/>
  <c r="AJ66" i="1"/>
  <c r="AI66" i="1"/>
  <c r="AH66" i="1"/>
  <c r="AG66" i="1"/>
  <c r="AF66" i="1"/>
  <c r="AE66" i="1"/>
  <c r="AD66" i="1"/>
  <c r="AC66" i="1"/>
  <c r="X66" i="1" s="1"/>
  <c r="AB66" i="1"/>
  <c r="Z66" i="1"/>
  <c r="O66" i="1"/>
  <c r="AL65" i="1"/>
  <c r="AK65" i="1"/>
  <c r="AJ65" i="1"/>
  <c r="AI65" i="1"/>
  <c r="AH65" i="1"/>
  <c r="AG65" i="1"/>
  <c r="AF65" i="1"/>
  <c r="AE65" i="1"/>
  <c r="Z65" i="1" s="1"/>
  <c r="AD65" i="1"/>
  <c r="AC65" i="1"/>
  <c r="X65" i="1" s="1"/>
  <c r="AB65" i="1"/>
  <c r="O65" i="1"/>
  <c r="AL64" i="1"/>
  <c r="AK64" i="1"/>
  <c r="AJ64" i="1"/>
  <c r="AI64" i="1"/>
  <c r="AH64" i="1"/>
  <c r="AG64" i="1"/>
  <c r="AF64" i="1"/>
  <c r="AE64" i="1"/>
  <c r="Z64" i="1" s="1"/>
  <c r="AD64" i="1"/>
  <c r="AC64" i="1"/>
  <c r="X64" i="1" s="1"/>
  <c r="AB64" i="1"/>
  <c r="O64" i="1"/>
  <c r="AL63" i="1"/>
  <c r="AK63" i="1"/>
  <c r="AJ63" i="1"/>
  <c r="AI63" i="1"/>
  <c r="AH63" i="1"/>
  <c r="AG63" i="1"/>
  <c r="AF63" i="1"/>
  <c r="AE63" i="1"/>
  <c r="Z63" i="1" s="1"/>
  <c r="AD63" i="1"/>
  <c r="AC63" i="1"/>
  <c r="X63" i="1" s="1"/>
  <c r="AB63" i="1"/>
  <c r="O63" i="1"/>
  <c r="AL62" i="1"/>
  <c r="AK62" i="1"/>
  <c r="AJ62" i="1"/>
  <c r="AI62" i="1"/>
  <c r="AH62" i="1"/>
  <c r="AG62" i="1"/>
  <c r="AF62" i="1"/>
  <c r="AE62" i="1"/>
  <c r="Z62" i="1" s="1"/>
  <c r="AD62" i="1"/>
  <c r="AC62" i="1"/>
  <c r="X62" i="1" s="1"/>
  <c r="AB62" i="1"/>
  <c r="O62" i="1"/>
  <c r="AL61" i="1"/>
  <c r="AK61" i="1"/>
  <c r="AJ61" i="1"/>
  <c r="AI61" i="1"/>
  <c r="AH61" i="1"/>
  <c r="AG61" i="1"/>
  <c r="AF61" i="1"/>
  <c r="AE61" i="1"/>
  <c r="AD61" i="1"/>
  <c r="AC61" i="1"/>
  <c r="X61" i="1" s="1"/>
  <c r="AB61" i="1"/>
  <c r="Z61" i="1"/>
  <c r="O61" i="1"/>
  <c r="AL60" i="1"/>
  <c r="AK60" i="1"/>
  <c r="AJ60" i="1"/>
  <c r="AI60" i="1"/>
  <c r="AH60" i="1"/>
  <c r="AG60" i="1"/>
  <c r="AF60" i="1"/>
  <c r="AE60" i="1"/>
  <c r="Z60" i="1" s="1"/>
  <c r="AD60" i="1"/>
  <c r="AC60" i="1"/>
  <c r="X60" i="1" s="1"/>
  <c r="AB60" i="1"/>
  <c r="O60" i="1"/>
  <c r="AL59" i="1"/>
  <c r="AK59" i="1"/>
  <c r="AJ59" i="1"/>
  <c r="AI59" i="1"/>
  <c r="AH59" i="1"/>
  <c r="AG59" i="1"/>
  <c r="AF59" i="1"/>
  <c r="AE59" i="1"/>
  <c r="Z59" i="1" s="1"/>
  <c r="AD59" i="1"/>
  <c r="AC59" i="1"/>
  <c r="X59" i="1" s="1"/>
  <c r="AB59" i="1"/>
  <c r="O59" i="1"/>
  <c r="AL58" i="1"/>
  <c r="AK58" i="1"/>
  <c r="AJ58" i="1"/>
  <c r="AI58" i="1"/>
  <c r="AH58" i="1"/>
  <c r="AG58" i="1"/>
  <c r="AF58" i="1"/>
  <c r="AE58" i="1"/>
  <c r="Z58" i="1" s="1"/>
  <c r="AD58" i="1"/>
  <c r="AC58" i="1"/>
  <c r="X58" i="1" s="1"/>
  <c r="AB58" i="1"/>
  <c r="O58" i="1"/>
  <c r="AL57" i="1"/>
  <c r="AK57" i="1"/>
  <c r="AJ57" i="1"/>
  <c r="AI57" i="1"/>
  <c r="AH57" i="1"/>
  <c r="AG57" i="1"/>
  <c r="AF57" i="1"/>
  <c r="AE57" i="1"/>
  <c r="Z57" i="1" s="1"/>
  <c r="AD57" i="1"/>
  <c r="AC57" i="1"/>
  <c r="X57" i="1" s="1"/>
  <c r="AB57" i="1"/>
  <c r="O57" i="1"/>
  <c r="AL56" i="1"/>
  <c r="AK56" i="1"/>
  <c r="AJ56" i="1"/>
  <c r="AI56" i="1"/>
  <c r="AH56" i="1"/>
  <c r="AG56" i="1"/>
  <c r="AF56" i="1"/>
  <c r="AE56" i="1"/>
  <c r="AD56" i="1"/>
  <c r="AC56" i="1"/>
  <c r="X56" i="1" s="1"/>
  <c r="AB56" i="1"/>
  <c r="O56" i="1"/>
  <c r="AL55" i="1"/>
  <c r="AK55" i="1"/>
  <c r="AJ55" i="1"/>
  <c r="AI55" i="1"/>
  <c r="AH55" i="1"/>
  <c r="AG55" i="1"/>
  <c r="AF55" i="1"/>
  <c r="AE55" i="1"/>
  <c r="Z55" i="1" s="1"/>
  <c r="AD55" i="1"/>
  <c r="AC55" i="1"/>
  <c r="X55" i="1" s="1"/>
  <c r="AB55" i="1"/>
  <c r="O55" i="1"/>
  <c r="AL54" i="1"/>
  <c r="AK54" i="1"/>
  <c r="AJ54" i="1"/>
  <c r="AI54" i="1"/>
  <c r="AH54" i="1"/>
  <c r="AG54" i="1"/>
  <c r="AF54" i="1"/>
  <c r="AE54" i="1"/>
  <c r="Z54" i="1" s="1"/>
  <c r="AD54" i="1"/>
  <c r="AC54" i="1"/>
  <c r="X54" i="1" s="1"/>
  <c r="AB54" i="1"/>
  <c r="O54" i="1"/>
  <c r="AL53" i="1"/>
  <c r="AK53" i="1"/>
  <c r="AJ53" i="1"/>
  <c r="AI53" i="1"/>
  <c r="AH53" i="1"/>
  <c r="AG53" i="1"/>
  <c r="AF53" i="1"/>
  <c r="AE53" i="1"/>
  <c r="AD53" i="1"/>
  <c r="AC53" i="1"/>
  <c r="X53" i="1" s="1"/>
  <c r="AB53" i="1"/>
  <c r="O53" i="1"/>
  <c r="AL52" i="1"/>
  <c r="AK52" i="1"/>
  <c r="AJ52" i="1"/>
  <c r="AI52" i="1"/>
  <c r="AH52" i="1"/>
  <c r="AG52" i="1"/>
  <c r="AF52" i="1"/>
  <c r="AE52" i="1"/>
  <c r="AD52" i="1"/>
  <c r="AC52" i="1"/>
  <c r="X52" i="1" s="1"/>
  <c r="AB52" i="1"/>
  <c r="O52" i="1"/>
  <c r="AL51" i="1"/>
  <c r="AK51" i="1"/>
  <c r="AJ51" i="1"/>
  <c r="AI51" i="1"/>
  <c r="AH51" i="1"/>
  <c r="AG51" i="1"/>
  <c r="AF51" i="1"/>
  <c r="AE51" i="1"/>
  <c r="AD51" i="1"/>
  <c r="AC51" i="1"/>
  <c r="X51" i="1" s="1"/>
  <c r="AB51" i="1"/>
  <c r="O51" i="1"/>
  <c r="AL50" i="1"/>
  <c r="AK50" i="1"/>
  <c r="AJ50" i="1"/>
  <c r="AI50" i="1"/>
  <c r="AH50" i="1"/>
  <c r="AG50" i="1"/>
  <c r="AF50" i="1"/>
  <c r="AE50" i="1"/>
  <c r="AD50" i="1"/>
  <c r="AC50" i="1"/>
  <c r="X50" i="1" s="1"/>
  <c r="AB50" i="1"/>
  <c r="O50" i="1"/>
  <c r="AL49" i="1"/>
  <c r="AK49" i="1"/>
  <c r="AJ49" i="1"/>
  <c r="AI49" i="1"/>
  <c r="AH49" i="1"/>
  <c r="AG49" i="1"/>
  <c r="AF49" i="1"/>
  <c r="AE49" i="1"/>
  <c r="Z49" i="1" s="1"/>
  <c r="AD49" i="1"/>
  <c r="AC49" i="1"/>
  <c r="X49" i="1" s="1"/>
  <c r="AB49" i="1"/>
  <c r="O49" i="1"/>
  <c r="AL48" i="1"/>
  <c r="AK48" i="1"/>
  <c r="AJ48" i="1"/>
  <c r="AI48" i="1"/>
  <c r="AH48" i="1"/>
  <c r="AG48" i="1"/>
  <c r="AF48" i="1"/>
  <c r="AE48" i="1"/>
  <c r="Z48" i="1" s="1"/>
  <c r="AD48" i="1"/>
  <c r="AC48" i="1"/>
  <c r="X48" i="1" s="1"/>
  <c r="AB48" i="1"/>
  <c r="O48" i="1"/>
  <c r="AL47" i="1"/>
  <c r="AK47" i="1"/>
  <c r="AJ47" i="1"/>
  <c r="AI47" i="1"/>
  <c r="AH47" i="1"/>
  <c r="AG47" i="1"/>
  <c r="AF47" i="1"/>
  <c r="AE47" i="1"/>
  <c r="Z47" i="1" s="1"/>
  <c r="AD47" i="1"/>
  <c r="AC47" i="1"/>
  <c r="X47" i="1" s="1"/>
  <c r="AB47" i="1"/>
  <c r="O47" i="1"/>
  <c r="AL46" i="1"/>
  <c r="AK46" i="1"/>
  <c r="AJ46" i="1"/>
  <c r="AI46" i="1"/>
  <c r="AH46" i="1"/>
  <c r="AG46" i="1"/>
  <c r="AF46" i="1"/>
  <c r="AE46" i="1"/>
  <c r="Z46" i="1" s="1"/>
  <c r="AD46" i="1"/>
  <c r="AC46" i="1"/>
  <c r="X46" i="1" s="1"/>
  <c r="AB46" i="1"/>
  <c r="O46" i="1"/>
  <c r="AL45" i="1"/>
  <c r="AK45" i="1"/>
  <c r="AJ45" i="1"/>
  <c r="AI45" i="1"/>
  <c r="AH45" i="1"/>
  <c r="AG45" i="1"/>
  <c r="AF45" i="1"/>
  <c r="AE45" i="1"/>
  <c r="AD45" i="1"/>
  <c r="AC45" i="1"/>
  <c r="X45" i="1" s="1"/>
  <c r="AB45" i="1"/>
  <c r="O45" i="1"/>
  <c r="AL44" i="1"/>
  <c r="AK44" i="1"/>
  <c r="AJ44" i="1"/>
  <c r="AI44" i="1"/>
  <c r="AH44" i="1"/>
  <c r="AG44" i="1"/>
  <c r="AF44" i="1"/>
  <c r="AE44" i="1"/>
  <c r="Z44" i="1" s="1"/>
  <c r="AD44" i="1"/>
  <c r="AC44" i="1"/>
  <c r="X44" i="1" s="1"/>
  <c r="AB44" i="1"/>
  <c r="O44" i="1"/>
  <c r="AL43" i="1"/>
  <c r="AK43" i="1"/>
  <c r="AJ43" i="1"/>
  <c r="AI43" i="1"/>
  <c r="AH43" i="1"/>
  <c r="AG43" i="1"/>
  <c r="AF43" i="1"/>
  <c r="AE43" i="1"/>
  <c r="AD43" i="1"/>
  <c r="AC43" i="1"/>
  <c r="X43" i="1" s="1"/>
  <c r="AB43" i="1"/>
  <c r="O43" i="1"/>
  <c r="AL42" i="1"/>
  <c r="AK42" i="1"/>
  <c r="AJ42" i="1"/>
  <c r="AI42" i="1"/>
  <c r="AH42" i="1"/>
  <c r="AG42" i="1"/>
  <c r="AF42" i="1"/>
  <c r="AE42" i="1"/>
  <c r="Z42" i="1" s="1"/>
  <c r="AD42" i="1"/>
  <c r="AC42" i="1"/>
  <c r="X42" i="1" s="1"/>
  <c r="AB42" i="1"/>
  <c r="O42" i="1"/>
  <c r="AL41" i="1"/>
  <c r="AK41" i="1"/>
  <c r="AJ41" i="1"/>
  <c r="AI41" i="1"/>
  <c r="AH41" i="1"/>
  <c r="AG41" i="1"/>
  <c r="AF41" i="1"/>
  <c r="AE41" i="1"/>
  <c r="Z41" i="1" s="1"/>
  <c r="AD41" i="1"/>
  <c r="AC41" i="1"/>
  <c r="X41" i="1" s="1"/>
  <c r="AB41" i="1"/>
  <c r="O41" i="1"/>
  <c r="AL40" i="1"/>
  <c r="AK40" i="1"/>
  <c r="AJ40" i="1"/>
  <c r="AI40" i="1"/>
  <c r="AH40" i="1"/>
  <c r="AG40" i="1"/>
  <c r="AF40" i="1"/>
  <c r="AE40" i="1"/>
  <c r="Z40" i="1" s="1"/>
  <c r="AD40" i="1"/>
  <c r="AC40" i="1"/>
  <c r="X40" i="1" s="1"/>
  <c r="AB40" i="1"/>
  <c r="O40" i="1"/>
  <c r="AL39" i="1"/>
  <c r="AK39" i="1"/>
  <c r="AJ39" i="1"/>
  <c r="AI39" i="1"/>
  <c r="AH39" i="1"/>
  <c r="AG39" i="1"/>
  <c r="AF39" i="1"/>
  <c r="AE39" i="1"/>
  <c r="Z39" i="1" s="1"/>
  <c r="AD39" i="1"/>
  <c r="AC39" i="1"/>
  <c r="X39" i="1" s="1"/>
  <c r="AB39" i="1"/>
  <c r="O39" i="1"/>
  <c r="AL38" i="1"/>
  <c r="AK38" i="1"/>
  <c r="AJ38" i="1"/>
  <c r="AI38" i="1"/>
  <c r="AH38" i="1"/>
  <c r="AG38" i="1"/>
  <c r="AF38" i="1"/>
  <c r="AE38" i="1"/>
  <c r="Z38" i="1" s="1"/>
  <c r="AD38" i="1"/>
  <c r="AC38" i="1"/>
  <c r="X38" i="1" s="1"/>
  <c r="AB38" i="1"/>
  <c r="O38" i="1"/>
  <c r="AL37" i="1"/>
  <c r="AK37" i="1"/>
  <c r="AJ37" i="1"/>
  <c r="AI37" i="1"/>
  <c r="AH37" i="1"/>
  <c r="AG37" i="1"/>
  <c r="AF37" i="1"/>
  <c r="AE37" i="1"/>
  <c r="AD37" i="1"/>
  <c r="AC37" i="1"/>
  <c r="X37" i="1" s="1"/>
  <c r="AB37" i="1"/>
  <c r="O37" i="1"/>
  <c r="AL36" i="1"/>
  <c r="AK36" i="1"/>
  <c r="AJ36" i="1"/>
  <c r="AI36" i="1"/>
  <c r="AH36" i="1"/>
  <c r="AG36" i="1"/>
  <c r="AF36" i="1"/>
  <c r="AE36" i="1"/>
  <c r="AD36" i="1"/>
  <c r="AC36" i="1"/>
  <c r="X36" i="1" s="1"/>
  <c r="AB36" i="1"/>
  <c r="O36" i="1"/>
  <c r="AL35" i="1"/>
  <c r="AK35" i="1"/>
  <c r="AJ35" i="1"/>
  <c r="AI35" i="1"/>
  <c r="AH35" i="1"/>
  <c r="AG35" i="1"/>
  <c r="AF35" i="1"/>
  <c r="AE35" i="1"/>
  <c r="Z35" i="1" s="1"/>
  <c r="AD35" i="1"/>
  <c r="AC35" i="1"/>
  <c r="X35" i="1" s="1"/>
  <c r="AB35" i="1"/>
  <c r="O35" i="1"/>
  <c r="AL34" i="1"/>
  <c r="AK34" i="1"/>
  <c r="AJ34" i="1"/>
  <c r="AI34" i="1"/>
  <c r="AH34" i="1"/>
  <c r="AG34" i="1"/>
  <c r="AF34" i="1"/>
  <c r="AE34" i="1"/>
  <c r="Z34" i="1" s="1"/>
  <c r="AD34" i="1"/>
  <c r="AC34" i="1"/>
  <c r="X34" i="1" s="1"/>
  <c r="AB34" i="1"/>
  <c r="O34" i="1"/>
  <c r="AL33" i="1"/>
  <c r="AK33" i="1"/>
  <c r="AJ33" i="1"/>
  <c r="AI33" i="1"/>
  <c r="AH33" i="1"/>
  <c r="AG33" i="1"/>
  <c r="AF33" i="1"/>
  <c r="AE33" i="1"/>
  <c r="AD33" i="1"/>
  <c r="AC33" i="1"/>
  <c r="X33" i="1" s="1"/>
  <c r="AB33" i="1"/>
  <c r="O33" i="1"/>
  <c r="AL32" i="1"/>
  <c r="AK32" i="1"/>
  <c r="AJ32" i="1"/>
  <c r="AI32" i="1"/>
  <c r="AH32" i="1"/>
  <c r="AG32" i="1"/>
  <c r="AF32" i="1"/>
  <c r="AE32" i="1"/>
  <c r="Z32" i="1" s="1"/>
  <c r="AD32" i="1"/>
  <c r="AC32" i="1"/>
  <c r="X32" i="1" s="1"/>
  <c r="AB32" i="1"/>
  <c r="O32" i="1"/>
  <c r="AL31" i="1"/>
  <c r="AK31" i="1"/>
  <c r="AJ31" i="1"/>
  <c r="AI31" i="1"/>
  <c r="AH31" i="1"/>
  <c r="AG31" i="1"/>
  <c r="AF31" i="1"/>
  <c r="AE31" i="1"/>
  <c r="AD31" i="1"/>
  <c r="AC31" i="1"/>
  <c r="X31" i="1" s="1"/>
  <c r="AB31" i="1"/>
  <c r="O31" i="1"/>
  <c r="AL30" i="1"/>
  <c r="AK30" i="1"/>
  <c r="AJ30" i="1"/>
  <c r="AI30" i="1"/>
  <c r="AH30" i="1"/>
  <c r="AG30" i="1"/>
  <c r="AF30" i="1"/>
  <c r="AE30" i="1"/>
  <c r="Z30" i="1" s="1"/>
  <c r="AD30" i="1"/>
  <c r="AC30" i="1"/>
  <c r="X30" i="1" s="1"/>
  <c r="AB30" i="1"/>
  <c r="O30" i="1"/>
  <c r="AL29" i="1"/>
  <c r="AK29" i="1"/>
  <c r="AJ29" i="1"/>
  <c r="AI29" i="1"/>
  <c r="AH29" i="1"/>
  <c r="AG29" i="1"/>
  <c r="AF29" i="1"/>
  <c r="AE29" i="1"/>
  <c r="Z29" i="1" s="1"/>
  <c r="AD29" i="1"/>
  <c r="AC29" i="1"/>
  <c r="X29" i="1" s="1"/>
  <c r="AB29" i="1"/>
  <c r="O29" i="1"/>
  <c r="AL28" i="1"/>
  <c r="AK28" i="1"/>
  <c r="AJ28" i="1"/>
  <c r="AI28" i="1"/>
  <c r="AH28" i="1"/>
  <c r="AG28" i="1"/>
  <c r="AF28" i="1"/>
  <c r="AE28" i="1"/>
  <c r="AD28" i="1"/>
  <c r="AC28" i="1"/>
  <c r="X28" i="1" s="1"/>
  <c r="AB28" i="1"/>
  <c r="O28" i="1"/>
  <c r="AL27" i="1"/>
  <c r="AK27" i="1"/>
  <c r="AJ27" i="1"/>
  <c r="AI27" i="1"/>
  <c r="AH27" i="1"/>
  <c r="AG27" i="1"/>
  <c r="AF27" i="1"/>
  <c r="AE27" i="1"/>
  <c r="Z27" i="1" s="1"/>
  <c r="AD27" i="1"/>
  <c r="AC27" i="1"/>
  <c r="X27" i="1" s="1"/>
  <c r="AB27" i="1"/>
  <c r="O27" i="1"/>
  <c r="AL26" i="1"/>
  <c r="AK26" i="1"/>
  <c r="AJ26" i="1"/>
  <c r="AI26" i="1"/>
  <c r="AH26" i="1"/>
  <c r="AG26" i="1"/>
  <c r="AF26" i="1"/>
  <c r="AE26" i="1"/>
  <c r="AD26" i="1"/>
  <c r="AC26" i="1"/>
  <c r="X26" i="1" s="1"/>
  <c r="AB26" i="1"/>
  <c r="O26" i="1"/>
  <c r="AL25" i="1"/>
  <c r="AK25" i="1"/>
  <c r="AJ25" i="1"/>
  <c r="AI25" i="1"/>
  <c r="AH25" i="1"/>
  <c r="AG25" i="1"/>
  <c r="AF25" i="1"/>
  <c r="AE25" i="1"/>
  <c r="AD25" i="1"/>
  <c r="AC25" i="1"/>
  <c r="X25" i="1" s="1"/>
  <c r="AB25" i="1"/>
  <c r="O25" i="1"/>
  <c r="AL24" i="1"/>
  <c r="AK24" i="1"/>
  <c r="AJ24" i="1"/>
  <c r="AI24" i="1"/>
  <c r="AH24" i="1"/>
  <c r="AG24" i="1"/>
  <c r="AF24" i="1"/>
  <c r="AE24" i="1"/>
  <c r="AD24" i="1"/>
  <c r="AC24" i="1"/>
  <c r="X24" i="1" s="1"/>
  <c r="AB24" i="1"/>
  <c r="O24" i="1"/>
  <c r="AL23" i="1"/>
  <c r="AK23" i="1"/>
  <c r="AJ23" i="1"/>
  <c r="AI23" i="1"/>
  <c r="AH23" i="1"/>
  <c r="AG23" i="1"/>
  <c r="AF23" i="1"/>
  <c r="AE23" i="1"/>
  <c r="Z23" i="1" s="1"/>
  <c r="AD23" i="1"/>
  <c r="AC23" i="1"/>
  <c r="X23" i="1" s="1"/>
  <c r="AB23" i="1"/>
  <c r="O23" i="1"/>
  <c r="AL22" i="1"/>
  <c r="AK22" i="1"/>
  <c r="AJ22" i="1"/>
  <c r="AI22" i="1"/>
  <c r="AH22" i="1"/>
  <c r="AG22" i="1"/>
  <c r="AF22" i="1"/>
  <c r="AE22" i="1"/>
  <c r="AD22" i="1"/>
  <c r="AC22" i="1"/>
  <c r="X22" i="1" s="1"/>
  <c r="AB22" i="1"/>
  <c r="O22" i="1"/>
  <c r="AL21" i="1"/>
  <c r="AK21" i="1"/>
  <c r="AJ21" i="1"/>
  <c r="AI21" i="1"/>
  <c r="AH21" i="1"/>
  <c r="AG21" i="1"/>
  <c r="AF21" i="1"/>
  <c r="Z21" i="1" s="1"/>
  <c r="AE21" i="1"/>
  <c r="AD21" i="1"/>
  <c r="AC21" i="1"/>
  <c r="X21" i="1" s="1"/>
  <c r="AB21" i="1"/>
  <c r="O21" i="1"/>
  <c r="AL20" i="1"/>
  <c r="AK20" i="1"/>
  <c r="AJ20" i="1"/>
  <c r="AI20" i="1"/>
  <c r="AH20" i="1"/>
  <c r="AG20" i="1"/>
  <c r="AF20" i="1"/>
  <c r="AE20" i="1"/>
  <c r="Z20" i="1" s="1"/>
  <c r="AD20" i="1"/>
  <c r="AC20" i="1"/>
  <c r="X20" i="1" s="1"/>
  <c r="AB20" i="1"/>
  <c r="O20" i="1"/>
  <c r="AL19" i="1"/>
  <c r="AK19" i="1"/>
  <c r="AJ19" i="1"/>
  <c r="AI19" i="1"/>
  <c r="AH19" i="1"/>
  <c r="AG19" i="1"/>
  <c r="AF19" i="1"/>
  <c r="AE19" i="1"/>
  <c r="Z19" i="1" s="1"/>
  <c r="AD19" i="1"/>
  <c r="AC19" i="1"/>
  <c r="X19" i="1" s="1"/>
  <c r="AB19" i="1"/>
  <c r="O19" i="1"/>
  <c r="AL18" i="1"/>
  <c r="AK18" i="1"/>
  <c r="AJ18" i="1"/>
  <c r="AI18" i="1"/>
  <c r="AH18" i="1"/>
  <c r="AG18" i="1"/>
  <c r="AF18" i="1"/>
  <c r="AE18" i="1"/>
  <c r="Z18" i="1" s="1"/>
  <c r="AD18" i="1"/>
  <c r="AC18" i="1"/>
  <c r="X18" i="1" s="1"/>
  <c r="AB18" i="1"/>
  <c r="O18" i="1"/>
  <c r="AL17" i="1"/>
  <c r="AK17" i="1"/>
  <c r="AJ17" i="1"/>
  <c r="AI17" i="1"/>
  <c r="AH17" i="1"/>
  <c r="AG17" i="1"/>
  <c r="AF17" i="1"/>
  <c r="AE17" i="1"/>
  <c r="Z17" i="1" s="1"/>
  <c r="AD17" i="1"/>
  <c r="AC17" i="1"/>
  <c r="X17" i="1" s="1"/>
  <c r="AB17" i="1"/>
  <c r="O17" i="1"/>
  <c r="AL16" i="1"/>
  <c r="AK16" i="1"/>
  <c r="AJ16" i="1"/>
  <c r="AI16" i="1"/>
  <c r="AH16" i="1"/>
  <c r="AG16" i="1"/>
  <c r="AF16" i="1"/>
  <c r="AE16" i="1"/>
  <c r="Z16" i="1" s="1"/>
  <c r="AD16" i="1"/>
  <c r="AC16" i="1"/>
  <c r="X16" i="1" s="1"/>
  <c r="AB16" i="1"/>
  <c r="O16" i="1"/>
  <c r="K16" i="1"/>
  <c r="M15" i="1" s="1"/>
  <c r="AL15" i="1"/>
  <c r="AK15" i="1"/>
  <c r="AJ15" i="1"/>
  <c r="AI15" i="1"/>
  <c r="AH15" i="1"/>
  <c r="AG15" i="1"/>
  <c r="AF15" i="1"/>
  <c r="AE15" i="1"/>
  <c r="Z15" i="1" s="1"/>
  <c r="AD15" i="1"/>
  <c r="AC15" i="1"/>
  <c r="X15" i="1" s="1"/>
  <c r="AB15" i="1"/>
  <c r="O15" i="1"/>
  <c r="AL14" i="1"/>
  <c r="AK14" i="1"/>
  <c r="AJ14" i="1"/>
  <c r="AI14" i="1"/>
  <c r="AH14" i="1"/>
  <c r="AG14" i="1"/>
  <c r="AF14" i="1"/>
  <c r="AE14" i="1"/>
  <c r="Z14" i="1" s="1"/>
  <c r="AD14" i="1"/>
  <c r="AC14" i="1"/>
  <c r="X14" i="1" s="1"/>
  <c r="AB14" i="1"/>
  <c r="O14" i="1"/>
  <c r="AL13" i="1"/>
  <c r="AK13" i="1"/>
  <c r="AJ13" i="1"/>
  <c r="AI13" i="1"/>
  <c r="AH13" i="1"/>
  <c r="AG13" i="1"/>
  <c r="AF13" i="1"/>
  <c r="AE13" i="1"/>
  <c r="AD13" i="1"/>
  <c r="AC13" i="1"/>
  <c r="X13" i="1" s="1"/>
  <c r="AB13" i="1"/>
  <c r="O13" i="1"/>
  <c r="AL12" i="1"/>
  <c r="AK12" i="1"/>
  <c r="AJ12" i="1"/>
  <c r="AI12" i="1"/>
  <c r="AH12" i="1"/>
  <c r="AG12" i="1"/>
  <c r="AF12" i="1"/>
  <c r="AE12" i="1"/>
  <c r="AD12" i="1"/>
  <c r="AC12" i="1"/>
  <c r="X12" i="1" s="1"/>
  <c r="AB12" i="1"/>
  <c r="O12" i="1"/>
  <c r="AL11" i="1"/>
  <c r="AK11" i="1"/>
  <c r="AJ11" i="1"/>
  <c r="AI11" i="1"/>
  <c r="AH11" i="1"/>
  <c r="AG11" i="1"/>
  <c r="AF11" i="1"/>
  <c r="AE11" i="1"/>
  <c r="AD11" i="1"/>
  <c r="AC11" i="1"/>
  <c r="X11" i="1" s="1"/>
  <c r="AB11" i="1"/>
  <c r="O11" i="1"/>
  <c r="AL10" i="1"/>
  <c r="AK10" i="1"/>
  <c r="AJ10" i="1"/>
  <c r="AI10" i="1"/>
  <c r="AH10" i="1"/>
  <c r="AG10" i="1"/>
  <c r="AF10" i="1"/>
  <c r="AE10" i="1"/>
  <c r="Z10" i="1" s="1"/>
  <c r="AD10" i="1"/>
  <c r="AC10" i="1"/>
  <c r="X10" i="1" s="1"/>
  <c r="AB10" i="1"/>
  <c r="O10" i="1"/>
  <c r="AL9" i="1"/>
  <c r="AK9" i="1"/>
  <c r="AJ9" i="1"/>
  <c r="AI9" i="1"/>
  <c r="AH9" i="1"/>
  <c r="AG9" i="1"/>
  <c r="AF9" i="1"/>
  <c r="AE9" i="1"/>
  <c r="Z9" i="1" s="1"/>
  <c r="AD9" i="1"/>
  <c r="AC9" i="1"/>
  <c r="X9" i="1" s="1"/>
  <c r="AB9" i="1"/>
  <c r="O9" i="1"/>
  <c r="AL8" i="1"/>
  <c r="AK8" i="1"/>
  <c r="AJ8" i="1"/>
  <c r="AI8" i="1"/>
  <c r="AH8" i="1"/>
  <c r="AG8" i="1"/>
  <c r="AF8" i="1"/>
  <c r="Z8" i="1" s="1"/>
  <c r="AE8" i="1"/>
  <c r="AD8" i="1"/>
  <c r="AC8" i="1"/>
  <c r="X8" i="1" s="1"/>
  <c r="AB8" i="1"/>
  <c r="O8" i="1"/>
  <c r="AL7" i="1"/>
  <c r="AK7" i="1"/>
  <c r="AJ7" i="1"/>
  <c r="AI7" i="1"/>
  <c r="AH7" i="1"/>
  <c r="AG7" i="1"/>
  <c r="AF7" i="1"/>
  <c r="Z7" i="1" s="1"/>
  <c r="AE7" i="1"/>
  <c r="AD7" i="1"/>
  <c r="AC7" i="1"/>
  <c r="X7" i="1" s="1"/>
  <c r="AB7" i="1"/>
  <c r="O7" i="1"/>
  <c r="AL6" i="1"/>
  <c r="AK6" i="1"/>
  <c r="AJ6" i="1"/>
  <c r="AI6" i="1"/>
  <c r="AH6" i="1"/>
  <c r="AG6" i="1"/>
  <c r="AF6" i="1"/>
  <c r="AE6" i="1"/>
  <c r="AD6" i="1"/>
  <c r="AC6" i="1"/>
  <c r="X6" i="1" s="1"/>
  <c r="AB6" i="1"/>
  <c r="O6" i="1"/>
  <c r="AL5" i="1"/>
  <c r="AK5" i="1"/>
  <c r="AJ5" i="1"/>
  <c r="AI5" i="1"/>
  <c r="AH5" i="1"/>
  <c r="AG5" i="1"/>
  <c r="AF5" i="1"/>
  <c r="AE5" i="1"/>
  <c r="Z5" i="1" s="1"/>
  <c r="AD5" i="1"/>
  <c r="AC5" i="1"/>
  <c r="X5" i="1" s="1"/>
  <c r="AB5" i="1"/>
  <c r="O5" i="1"/>
  <c r="AL4" i="1"/>
  <c r="AK4" i="1"/>
  <c r="AJ4" i="1"/>
  <c r="AI4" i="1"/>
  <c r="AH4" i="1"/>
  <c r="AG4" i="1"/>
  <c r="AF4" i="1"/>
  <c r="AE4" i="1"/>
  <c r="Z4" i="1" s="1"/>
  <c r="AD4" i="1"/>
  <c r="AC4" i="1"/>
  <c r="X4" i="1" s="1"/>
  <c r="AB4" i="1"/>
  <c r="O4" i="1"/>
  <c r="AL3" i="1"/>
  <c r="AK3" i="1"/>
  <c r="AJ3" i="1"/>
  <c r="AI3" i="1"/>
  <c r="AH3" i="1"/>
  <c r="AG3" i="1"/>
  <c r="AF3" i="1"/>
  <c r="AE3" i="1"/>
  <c r="AD3" i="1"/>
  <c r="AC3" i="1"/>
  <c r="X3" i="1" s="1"/>
  <c r="AB3" i="1"/>
  <c r="Z3" i="1"/>
  <c r="O3" i="1"/>
  <c r="AT2" i="1"/>
  <c r="AT3" i="1" s="1"/>
  <c r="AT4" i="1" s="1"/>
  <c r="AT5" i="1" s="1"/>
  <c r="AT6" i="1" s="1"/>
  <c r="AT7" i="1" s="1"/>
  <c r="AT8" i="1" s="1"/>
  <c r="AT9" i="1" s="1"/>
  <c r="AT10" i="1" s="1"/>
  <c r="AT11" i="1" s="1"/>
  <c r="AT12" i="1" s="1"/>
  <c r="AT13" i="1" s="1"/>
  <c r="AT14" i="1" s="1"/>
  <c r="AT15" i="1" s="1"/>
  <c r="AT16" i="1" s="1"/>
  <c r="AT17" i="1" s="1"/>
  <c r="AT18" i="1" s="1"/>
  <c r="AT19" i="1" s="1"/>
  <c r="AT20" i="1" s="1"/>
  <c r="AT21" i="1" s="1"/>
  <c r="AT22" i="1" s="1"/>
  <c r="AT23" i="1" s="1"/>
  <c r="AT24" i="1" s="1"/>
  <c r="AT25" i="1" s="1"/>
  <c r="AT26" i="1" s="1"/>
  <c r="AT27" i="1" s="1"/>
  <c r="AT28" i="1" s="1"/>
  <c r="AT29" i="1" s="1"/>
  <c r="AT30" i="1" s="1"/>
  <c r="AT31" i="1" s="1"/>
  <c r="AT32" i="1" s="1"/>
  <c r="AT33" i="1" s="1"/>
  <c r="AT34" i="1" s="1"/>
  <c r="AT35" i="1" s="1"/>
  <c r="AT36" i="1" s="1"/>
  <c r="AT37" i="1" s="1"/>
  <c r="AT38" i="1" s="1"/>
  <c r="AT39" i="1" s="1"/>
  <c r="AT40" i="1" s="1"/>
  <c r="AT41" i="1" s="1"/>
  <c r="AT42" i="1" s="1"/>
  <c r="AT43" i="1" s="1"/>
  <c r="AT44" i="1" s="1"/>
  <c r="AT45" i="1" s="1"/>
  <c r="AT46" i="1" s="1"/>
  <c r="AT47" i="1" s="1"/>
  <c r="AT48" i="1" s="1"/>
  <c r="AT49" i="1" s="1"/>
  <c r="AT50" i="1" s="1"/>
  <c r="AT51" i="1" s="1"/>
  <c r="AT52" i="1" s="1"/>
  <c r="AT53" i="1" s="1"/>
  <c r="AT54" i="1" s="1"/>
  <c r="AT55" i="1" s="1"/>
  <c r="AT56" i="1" s="1"/>
  <c r="AT57" i="1" s="1"/>
  <c r="AT58" i="1" s="1"/>
  <c r="AT59" i="1" s="1"/>
  <c r="AT60" i="1" s="1"/>
  <c r="AT61" i="1" s="1"/>
  <c r="AT62" i="1" s="1"/>
  <c r="AT63" i="1" s="1"/>
  <c r="AT64" i="1" s="1"/>
  <c r="AT65" i="1" s="1"/>
  <c r="AT66" i="1" s="1"/>
  <c r="AT67" i="1" s="1"/>
  <c r="AT68" i="1" s="1"/>
  <c r="AT69" i="1" s="1"/>
  <c r="AT70" i="1" s="1"/>
  <c r="AT71" i="1" s="1"/>
  <c r="AT72" i="1" s="1"/>
  <c r="AT73" i="1" s="1"/>
  <c r="AT74" i="1" s="1"/>
  <c r="AT75" i="1" s="1"/>
  <c r="AT76" i="1" s="1"/>
  <c r="AT77" i="1" s="1"/>
  <c r="AT78" i="1" s="1"/>
  <c r="AT79" i="1" s="1"/>
  <c r="AT80" i="1" s="1"/>
  <c r="AT81" i="1" s="1"/>
  <c r="AT82" i="1" s="1"/>
  <c r="AT83" i="1" s="1"/>
  <c r="AT84" i="1" s="1"/>
  <c r="AT85" i="1" s="1"/>
  <c r="AT86" i="1" s="1"/>
  <c r="AT87" i="1" s="1"/>
  <c r="AT88" i="1" s="1"/>
  <c r="AT89" i="1" s="1"/>
  <c r="AT90" i="1" s="1"/>
  <c r="AT91" i="1" s="1"/>
  <c r="AT92" i="1" s="1"/>
  <c r="AT93" i="1" s="1"/>
  <c r="AT94" i="1" s="1"/>
  <c r="AT95" i="1" s="1"/>
  <c r="AT96" i="1" s="1"/>
  <c r="AT97" i="1" s="1"/>
  <c r="AT98" i="1" s="1"/>
  <c r="AT99" i="1" s="1"/>
  <c r="AT100" i="1" s="1"/>
  <c r="AT101" i="1" s="1"/>
  <c r="AT102" i="1" s="1"/>
  <c r="AT103" i="1" s="1"/>
  <c r="AT104" i="1" s="1"/>
  <c r="AT105" i="1" s="1"/>
  <c r="AT106" i="1" s="1"/>
  <c r="AT107" i="1" s="1"/>
  <c r="AT108" i="1" s="1"/>
  <c r="AT109" i="1" s="1"/>
  <c r="AT110" i="1" s="1"/>
  <c r="AT111" i="1" s="1"/>
  <c r="AT112" i="1" s="1"/>
  <c r="AT113" i="1" s="1"/>
  <c r="AT114" i="1" s="1"/>
  <c r="AT115" i="1" s="1"/>
  <c r="AT116" i="1" s="1"/>
  <c r="AT117" i="1" s="1"/>
  <c r="AT118" i="1" s="1"/>
  <c r="AT119" i="1" s="1"/>
  <c r="AT120" i="1" s="1"/>
  <c r="AT121" i="1" s="1"/>
  <c r="AT122" i="1" s="1"/>
  <c r="AT123" i="1" s="1"/>
  <c r="AT124" i="1" s="1"/>
  <c r="AT125" i="1" s="1"/>
  <c r="AT126" i="1" s="1"/>
  <c r="AT127" i="1" s="1"/>
  <c r="AT128" i="1" s="1"/>
  <c r="AT129" i="1" s="1"/>
  <c r="AT130" i="1" s="1"/>
  <c r="AT131" i="1" s="1"/>
  <c r="AT132" i="1" s="1"/>
  <c r="AT133" i="1" s="1"/>
  <c r="AT134" i="1" s="1"/>
  <c r="AT135" i="1" s="1"/>
  <c r="AT136" i="1" s="1"/>
  <c r="AT137" i="1" s="1"/>
  <c r="AT138" i="1" s="1"/>
  <c r="AT139" i="1" s="1"/>
  <c r="AT140" i="1" s="1"/>
  <c r="AT141" i="1" s="1"/>
  <c r="AT142" i="1" s="1"/>
  <c r="AT143" i="1" s="1"/>
  <c r="AT144" i="1" s="1"/>
  <c r="AT145" i="1" s="1"/>
  <c r="AT146" i="1" s="1"/>
  <c r="AT147" i="1" s="1"/>
  <c r="AT148" i="1" s="1"/>
  <c r="AT149" i="1" s="1"/>
  <c r="AT150" i="1" s="1"/>
  <c r="AT151" i="1" s="1"/>
  <c r="AT152" i="1" s="1"/>
  <c r="AT153" i="1" s="1"/>
  <c r="AT154" i="1" s="1"/>
  <c r="AT155" i="1" s="1"/>
  <c r="AT156" i="1" s="1"/>
  <c r="AT157" i="1" s="1"/>
  <c r="AT158" i="1" s="1"/>
  <c r="AT159" i="1" s="1"/>
  <c r="AT160" i="1" s="1"/>
  <c r="AT161" i="1" s="1"/>
  <c r="AT162" i="1" s="1"/>
  <c r="AT163" i="1" s="1"/>
  <c r="AT164" i="1" s="1"/>
  <c r="AT165" i="1" s="1"/>
  <c r="AT166" i="1" s="1"/>
  <c r="AT167" i="1" s="1"/>
  <c r="AT168" i="1" s="1"/>
  <c r="AT169" i="1" s="1"/>
  <c r="AT170" i="1" s="1"/>
  <c r="AT171" i="1" s="1"/>
  <c r="AT172" i="1" s="1"/>
  <c r="AT173" i="1" s="1"/>
  <c r="AT174" i="1" s="1"/>
  <c r="AT175" i="1" s="1"/>
  <c r="AT176" i="1" s="1"/>
  <c r="AT177" i="1" s="1"/>
  <c r="AT178" i="1" s="1"/>
  <c r="AT179" i="1" s="1"/>
  <c r="AT180" i="1" s="1"/>
  <c r="AT181" i="1" s="1"/>
  <c r="AT182" i="1" s="1"/>
  <c r="AT183" i="1" s="1"/>
  <c r="AT184" i="1" s="1"/>
  <c r="AT185" i="1" s="1"/>
  <c r="AT186" i="1" s="1"/>
  <c r="AT187" i="1" s="1"/>
  <c r="AT188" i="1" s="1"/>
  <c r="AT189" i="1" s="1"/>
  <c r="AT190" i="1" s="1"/>
  <c r="AT191" i="1" s="1"/>
  <c r="AT192" i="1" s="1"/>
  <c r="AT193" i="1" s="1"/>
  <c r="AT194" i="1" s="1"/>
  <c r="AT195" i="1" s="1"/>
  <c r="AT196" i="1" s="1"/>
  <c r="AT197" i="1" s="1"/>
  <c r="AT198" i="1" s="1"/>
  <c r="AT199" i="1" s="1"/>
  <c r="AT200" i="1" s="1"/>
  <c r="AT201" i="1" s="1"/>
  <c r="AT202" i="1" s="1"/>
  <c r="AT203" i="1" s="1"/>
  <c r="AT204" i="1" s="1"/>
  <c r="AT205" i="1" s="1"/>
  <c r="AT206" i="1" s="1"/>
  <c r="AT207" i="1" s="1"/>
  <c r="AT208" i="1" s="1"/>
  <c r="AT209" i="1" s="1"/>
  <c r="AT210" i="1" s="1"/>
  <c r="AT211" i="1" s="1"/>
  <c r="AT212" i="1" s="1"/>
  <c r="AT213" i="1" s="1"/>
  <c r="AT214" i="1" s="1"/>
  <c r="AT215" i="1" s="1"/>
  <c r="AT216" i="1" s="1"/>
  <c r="AT217" i="1" s="1"/>
  <c r="AT218" i="1" s="1"/>
  <c r="AT219" i="1" s="1"/>
  <c r="AT220" i="1" s="1"/>
  <c r="AT221" i="1" s="1"/>
  <c r="AT222" i="1" s="1"/>
  <c r="AT223" i="1" s="1"/>
  <c r="AT224" i="1" s="1"/>
  <c r="AT225" i="1" s="1"/>
  <c r="AT226" i="1" s="1"/>
  <c r="AT227" i="1" s="1"/>
  <c r="AT228" i="1" s="1"/>
  <c r="AT229" i="1" s="1"/>
  <c r="AT230" i="1" s="1"/>
  <c r="AT231" i="1" s="1"/>
  <c r="AT232" i="1" s="1"/>
  <c r="AT233" i="1" s="1"/>
  <c r="AT234" i="1" s="1"/>
  <c r="AT235" i="1" s="1"/>
  <c r="AT236" i="1" s="1"/>
  <c r="AT237" i="1" s="1"/>
  <c r="AT238" i="1" s="1"/>
  <c r="AT239" i="1" s="1"/>
  <c r="AT240" i="1" s="1"/>
  <c r="AT241" i="1" s="1"/>
  <c r="AT242" i="1" s="1"/>
  <c r="AT243" i="1" s="1"/>
  <c r="AT244" i="1" s="1"/>
  <c r="AT245" i="1" s="1"/>
  <c r="AT246" i="1" s="1"/>
  <c r="AT247" i="1" s="1"/>
  <c r="AT248" i="1" s="1"/>
  <c r="AT249" i="1" s="1"/>
  <c r="AT250" i="1" s="1"/>
  <c r="AT251" i="1" s="1"/>
  <c r="AT252" i="1" s="1"/>
  <c r="AT253" i="1" s="1"/>
  <c r="AT254" i="1" s="1"/>
  <c r="AT255" i="1" s="1"/>
  <c r="AT256" i="1" s="1"/>
  <c r="AT257" i="1" s="1"/>
  <c r="AT258" i="1" s="1"/>
  <c r="AT259" i="1" s="1"/>
  <c r="AT260" i="1" s="1"/>
  <c r="AT261" i="1" s="1"/>
  <c r="AT262" i="1" s="1"/>
  <c r="AT263" i="1" s="1"/>
  <c r="AT264" i="1" s="1"/>
  <c r="AT265" i="1" s="1"/>
  <c r="AT266" i="1" s="1"/>
  <c r="AT267" i="1" s="1"/>
  <c r="AT268" i="1" s="1"/>
  <c r="AT269" i="1" s="1"/>
  <c r="AT270" i="1" s="1"/>
  <c r="AT271" i="1" s="1"/>
  <c r="AT272" i="1" s="1"/>
  <c r="AT273" i="1" s="1"/>
  <c r="AT274" i="1" s="1"/>
  <c r="AT275" i="1" s="1"/>
  <c r="AT276" i="1" s="1"/>
  <c r="AT277" i="1" s="1"/>
  <c r="AT278" i="1" s="1"/>
  <c r="AT279" i="1" s="1"/>
  <c r="AT280" i="1" s="1"/>
  <c r="AT281" i="1" s="1"/>
  <c r="AT282" i="1" s="1"/>
  <c r="AT283" i="1" s="1"/>
  <c r="AL2" i="1"/>
  <c r="AK2" i="1"/>
  <c r="AJ2" i="1"/>
  <c r="AI2" i="1"/>
  <c r="AH2" i="1"/>
  <c r="AG2" i="1"/>
  <c r="AF2" i="1"/>
  <c r="AE2" i="1"/>
  <c r="AD2" i="1"/>
  <c r="AC2" i="1"/>
  <c r="AB2" i="1"/>
  <c r="Z2" i="1"/>
  <c r="X2" i="1"/>
  <c r="K8" i="1" s="1"/>
  <c r="O2" i="1"/>
  <c r="Z247" i="1" l="1"/>
  <c r="Z155" i="1"/>
  <c r="Z148" i="1"/>
  <c r="Z118" i="1"/>
  <c r="Z114" i="1"/>
  <c r="Z110" i="1"/>
  <c r="Z107" i="1"/>
  <c r="Z106" i="1"/>
  <c r="Z104" i="1"/>
  <c r="Z82" i="1"/>
  <c r="Z69" i="1"/>
  <c r="Z45" i="1"/>
  <c r="Z37" i="1"/>
  <c r="Z13" i="1"/>
  <c r="Z12" i="1"/>
  <c r="Z11" i="1"/>
  <c r="Z6" i="1"/>
  <c r="Z137" i="1"/>
  <c r="Z124" i="1"/>
  <c r="Z75" i="1"/>
  <c r="Z56" i="1"/>
  <c r="Z52" i="1"/>
  <c r="Z50" i="1"/>
  <c r="Z43" i="1"/>
  <c r="Z31" i="1"/>
  <c r="Z25" i="1"/>
  <c r="AM193" i="1"/>
  <c r="AM189" i="1"/>
  <c r="AM181" i="1"/>
  <c r="AM173" i="1"/>
  <c r="AM170" i="1"/>
  <c r="AM168" i="1"/>
  <c r="AM166" i="1"/>
  <c r="AM164" i="1"/>
  <c r="Z231" i="1"/>
  <c r="M12" i="1"/>
  <c r="Z221" i="1"/>
  <c r="Z212" i="1"/>
  <c r="AM192" i="1"/>
  <c r="AM190" i="1"/>
  <c r="X180" i="1"/>
  <c r="AM179" i="1"/>
  <c r="AM175" i="1"/>
  <c r="AM174" i="1"/>
  <c r="X173" i="1"/>
  <c r="AM172" i="1"/>
  <c r="AM169" i="1"/>
  <c r="AM162" i="1"/>
  <c r="X104" i="1"/>
  <c r="Z26" i="1"/>
  <c r="AM191" i="1"/>
  <c r="AM187" i="1"/>
  <c r="AM185" i="1"/>
  <c r="AM183" i="1"/>
  <c r="AM180" i="1"/>
  <c r="AM178" i="1"/>
  <c r="X174" i="1"/>
  <c r="AM171" i="1"/>
  <c r="X168" i="1"/>
  <c r="AM167" i="1"/>
  <c r="AM165" i="1"/>
  <c r="AM163" i="1"/>
  <c r="X162" i="1"/>
  <c r="K11" i="1" s="1"/>
  <c r="X103" i="1"/>
  <c r="Z28" i="1"/>
  <c r="AM176" i="1"/>
  <c r="AM97" i="1"/>
  <c r="AM96" i="1"/>
  <c r="AM95" i="1"/>
  <c r="AM92" i="1"/>
  <c r="AM91" i="1"/>
  <c r="AM90" i="1"/>
  <c r="AM85" i="1"/>
  <c r="AM84" i="1"/>
  <c r="Z51" i="1"/>
  <c r="Z36" i="1"/>
  <c r="Z22" i="1"/>
  <c r="AM188" i="1"/>
  <c r="AM186" i="1"/>
  <c r="AM184" i="1"/>
  <c r="AM182" i="1"/>
  <c r="AM177" i="1"/>
  <c r="M10" i="1"/>
  <c r="X150" i="1"/>
  <c r="M8" i="1"/>
  <c r="AM93" i="1"/>
  <c r="Z92" i="1"/>
  <c r="AM89" i="1"/>
  <c r="Z88" i="1"/>
  <c r="Z53" i="1"/>
  <c r="Z33" i="1"/>
  <c r="Z96" i="1"/>
  <c r="AM94" i="1"/>
  <c r="AM88" i="1"/>
  <c r="AM87" i="1"/>
  <c r="AM86" i="1"/>
  <c r="AM83" i="1"/>
  <c r="Z24" i="1"/>
  <c r="AM283" i="1"/>
  <c r="AU283" i="1" s="1"/>
  <c r="E4" i="1" s="1"/>
  <c r="AM282" i="1"/>
  <c r="AU282" i="1" s="1"/>
  <c r="AM281" i="1"/>
  <c r="AU281" i="1" s="1"/>
  <c r="AM280" i="1"/>
  <c r="AU280" i="1" s="1"/>
  <c r="AM279" i="1"/>
  <c r="AU279" i="1" s="1"/>
  <c r="AM278" i="1"/>
  <c r="AU278" i="1" s="1"/>
  <c r="AM277" i="1"/>
  <c r="AU277" i="1" s="1"/>
  <c r="AM276" i="1"/>
  <c r="AU276" i="1" s="1"/>
  <c r="AM275" i="1"/>
  <c r="AU275" i="1" s="1"/>
  <c r="AM274" i="1"/>
  <c r="AU274" i="1" s="1"/>
  <c r="AM273" i="1"/>
  <c r="AU273" i="1" s="1"/>
  <c r="AM272" i="1"/>
  <c r="AU272" i="1" s="1"/>
  <c r="AM271" i="1"/>
  <c r="AU271" i="1" s="1"/>
  <c r="AM270" i="1"/>
  <c r="AU270" i="1" s="1"/>
  <c r="AM269" i="1"/>
  <c r="AU269" i="1" s="1"/>
  <c r="AM268" i="1"/>
  <c r="AU268" i="1" s="1"/>
  <c r="AM267" i="1"/>
  <c r="AU267" i="1" s="1"/>
  <c r="AM266" i="1"/>
  <c r="AU266" i="1" s="1"/>
  <c r="AM252" i="1"/>
  <c r="AU252" i="1" s="1"/>
  <c r="AM251" i="1"/>
  <c r="AU251" i="1"/>
  <c r="AM250" i="1"/>
  <c r="AU250" i="1"/>
  <c r="AM249" i="1"/>
  <c r="AU249" i="1"/>
  <c r="AM248" i="1"/>
  <c r="AU248" i="1" s="1"/>
  <c r="AM247" i="1"/>
  <c r="AU247" i="1"/>
  <c r="AM246" i="1"/>
  <c r="AU246" i="1" s="1"/>
  <c r="AM245" i="1"/>
  <c r="AU245" i="1" s="1"/>
  <c r="AM244" i="1"/>
  <c r="AU244" i="1" s="1"/>
  <c r="AM243" i="1"/>
  <c r="AU243" i="1" s="1"/>
  <c r="AM242" i="1"/>
  <c r="AU242" i="1"/>
  <c r="AM241" i="1"/>
  <c r="AU241" i="1" s="1"/>
  <c r="AM240" i="1"/>
  <c r="AU240" i="1" s="1"/>
  <c r="AM239" i="1"/>
  <c r="AU239" i="1" s="1"/>
  <c r="AM238" i="1"/>
  <c r="AU238" i="1" s="1"/>
  <c r="AM237" i="1"/>
  <c r="AU237" i="1" s="1"/>
  <c r="AM236" i="1"/>
  <c r="AU236" i="1" s="1"/>
  <c r="AM235" i="1"/>
  <c r="AU235" i="1"/>
  <c r="AM234" i="1"/>
  <c r="AU234" i="1" s="1"/>
  <c r="AM233" i="1"/>
  <c r="AU233" i="1" s="1"/>
  <c r="AM232" i="1"/>
  <c r="AU232" i="1"/>
  <c r="AM231" i="1"/>
  <c r="AU231" i="1" s="1"/>
  <c r="AM230" i="1"/>
  <c r="AU230" i="1"/>
  <c r="AM229" i="1"/>
  <c r="AU229" i="1" s="1"/>
  <c r="AM228" i="1"/>
  <c r="AU228" i="1" s="1"/>
  <c r="AM227" i="1"/>
  <c r="AU227" i="1"/>
  <c r="AM226" i="1"/>
  <c r="AU226" i="1" s="1"/>
  <c r="AM225" i="1"/>
  <c r="AU225" i="1"/>
  <c r="AM224" i="1"/>
  <c r="AU224" i="1" s="1"/>
  <c r="AM223" i="1"/>
  <c r="AU223" i="1"/>
  <c r="AM222" i="1"/>
  <c r="AU222" i="1"/>
  <c r="AM221" i="1"/>
  <c r="AU221" i="1"/>
  <c r="AM220" i="1"/>
  <c r="AU220" i="1" s="1"/>
  <c r="AM219" i="1"/>
  <c r="AU219" i="1" s="1"/>
  <c r="AM218" i="1"/>
  <c r="AU218" i="1"/>
  <c r="AM217" i="1"/>
  <c r="AU217" i="1" s="1"/>
  <c r="AM216" i="1"/>
  <c r="AU216" i="1"/>
  <c r="AM215" i="1"/>
  <c r="AU215" i="1"/>
  <c r="AM214" i="1"/>
  <c r="AU214" i="1"/>
  <c r="AM213" i="1"/>
  <c r="AU213" i="1"/>
  <c r="AM212" i="1"/>
  <c r="AU212" i="1" s="1"/>
  <c r="AM211" i="1"/>
  <c r="AU211" i="1" s="1"/>
  <c r="AM210" i="1"/>
  <c r="AU210" i="1" s="1"/>
  <c r="AM209" i="1"/>
  <c r="AU209" i="1"/>
  <c r="AM208" i="1"/>
  <c r="AU208" i="1" s="1"/>
  <c r="AM207" i="1"/>
  <c r="AU207" i="1" s="1"/>
  <c r="AM206" i="1"/>
  <c r="AU206" i="1" s="1"/>
  <c r="AM205" i="1"/>
  <c r="AU205" i="1" s="1"/>
  <c r="AM204" i="1"/>
  <c r="AU204" i="1"/>
  <c r="AM203" i="1"/>
  <c r="AU203" i="1"/>
  <c r="AM202" i="1"/>
  <c r="AU202" i="1"/>
  <c r="AM201" i="1"/>
  <c r="AU201" i="1" s="1"/>
  <c r="AM200" i="1"/>
  <c r="AU200" i="1" s="1"/>
  <c r="AM199" i="1"/>
  <c r="AU199" i="1" s="1"/>
  <c r="AM198" i="1"/>
  <c r="AU198" i="1" s="1"/>
  <c r="AM197" i="1"/>
  <c r="AU197" i="1" s="1"/>
  <c r="AM196" i="1"/>
  <c r="AU196" i="1" s="1"/>
  <c r="AM195" i="1"/>
  <c r="AU195" i="1"/>
  <c r="AM194" i="1"/>
  <c r="AU194" i="1" s="1"/>
  <c r="AM161" i="1"/>
  <c r="AU161" i="1"/>
  <c r="AM160" i="1"/>
  <c r="AU160" i="1"/>
  <c r="AM159" i="1"/>
  <c r="AU159" i="1"/>
  <c r="AM158" i="1"/>
  <c r="AU158" i="1"/>
  <c r="AM157" i="1"/>
  <c r="AU157" i="1"/>
  <c r="AM156" i="1"/>
  <c r="AU156" i="1" s="1"/>
  <c r="AM155" i="1"/>
  <c r="AU155" i="1" s="1"/>
  <c r="AM154" i="1"/>
  <c r="AU154" i="1"/>
  <c r="AM153" i="1"/>
  <c r="AU153" i="1"/>
  <c r="AM152" i="1"/>
  <c r="AU152" i="1" s="1"/>
  <c r="AM151" i="1"/>
  <c r="AU151" i="1" s="1"/>
  <c r="AM150" i="1"/>
  <c r="AU150" i="1" s="1"/>
  <c r="AM149" i="1"/>
  <c r="AU149" i="1" s="1"/>
  <c r="AM148" i="1"/>
  <c r="AU148" i="1" s="1"/>
  <c r="AM147" i="1"/>
  <c r="AU147" i="1"/>
  <c r="AM146" i="1"/>
  <c r="AU146" i="1" s="1"/>
  <c r="AM145" i="1"/>
  <c r="AU145" i="1" s="1"/>
  <c r="AM144" i="1"/>
  <c r="AU144" i="1"/>
  <c r="AM143" i="1"/>
  <c r="AU143" i="1"/>
  <c r="AM142" i="1"/>
  <c r="AU142" i="1"/>
  <c r="AM141" i="1"/>
  <c r="AU141" i="1"/>
  <c r="AM140" i="1"/>
  <c r="AU140" i="1"/>
  <c r="AM139" i="1"/>
  <c r="AU139" i="1"/>
  <c r="AM138" i="1"/>
  <c r="AU138" i="1"/>
  <c r="AM137" i="1"/>
  <c r="AU137" i="1" s="1"/>
  <c r="AM136" i="1"/>
  <c r="AU136" i="1"/>
  <c r="AM135" i="1"/>
  <c r="AU135" i="1"/>
  <c r="AU134" i="1"/>
  <c r="AM134" i="1"/>
  <c r="AM133" i="1"/>
  <c r="AU133" i="1"/>
  <c r="AU132" i="1"/>
  <c r="AM132" i="1"/>
  <c r="AM131" i="1"/>
  <c r="AU131" i="1"/>
  <c r="AM130" i="1"/>
  <c r="AU130" i="1" s="1"/>
  <c r="AU129" i="1"/>
  <c r="AM129" i="1"/>
  <c r="AM128" i="1"/>
  <c r="AU128" i="1" s="1"/>
  <c r="AM127" i="1"/>
  <c r="AU127" i="1"/>
  <c r="AM126" i="1"/>
  <c r="AU126" i="1"/>
  <c r="AM125" i="1"/>
  <c r="AU125" i="1"/>
  <c r="AU124" i="1"/>
  <c r="AM124" i="1"/>
  <c r="AM123" i="1"/>
  <c r="AU123" i="1"/>
  <c r="AM122" i="1"/>
  <c r="AU122" i="1"/>
  <c r="AM121" i="1"/>
  <c r="AU121" i="1"/>
  <c r="AM120" i="1"/>
  <c r="AU120" i="1"/>
  <c r="AM119" i="1"/>
  <c r="AU119" i="1"/>
  <c r="AM118" i="1"/>
  <c r="AU118" i="1"/>
  <c r="AM117" i="1"/>
  <c r="AU117" i="1"/>
  <c r="AM116" i="1"/>
  <c r="AU116" i="1"/>
  <c r="AM115" i="1"/>
  <c r="AU115" i="1"/>
  <c r="AM114" i="1"/>
  <c r="AU114" i="1"/>
  <c r="AM113" i="1"/>
  <c r="AU113" i="1"/>
  <c r="AM112" i="1"/>
  <c r="AU112" i="1"/>
  <c r="AM111" i="1"/>
  <c r="AU111" i="1"/>
  <c r="AM110" i="1"/>
  <c r="AU110" i="1"/>
  <c r="AM109" i="1"/>
  <c r="AU109" i="1" s="1"/>
  <c r="AM108" i="1"/>
  <c r="AU108" i="1" s="1"/>
  <c r="AM107" i="1"/>
  <c r="AU107" i="1" s="1"/>
  <c r="AM106" i="1"/>
  <c r="AU106" i="1" s="1"/>
  <c r="AM105" i="1"/>
  <c r="AU105" i="1" s="1"/>
  <c r="AM104" i="1"/>
  <c r="AU104" i="1" s="1"/>
  <c r="AM103" i="1"/>
  <c r="AU103" i="1"/>
  <c r="AM102" i="1"/>
  <c r="AU102" i="1" s="1"/>
  <c r="AM101" i="1"/>
  <c r="AU101" i="1"/>
  <c r="AM100" i="1"/>
  <c r="AU100" i="1"/>
  <c r="AM99" i="1"/>
  <c r="AU99" i="1" s="1"/>
  <c r="AM98" i="1"/>
  <c r="AU98" i="1" s="1"/>
  <c r="AM82" i="1"/>
  <c r="AU82" i="1" s="1"/>
  <c r="AM81" i="1"/>
  <c r="AU81" i="1" s="1"/>
  <c r="AM80" i="1"/>
  <c r="AU80" i="1"/>
  <c r="AM79" i="1"/>
  <c r="AU79" i="1" s="1"/>
  <c r="AM78" i="1"/>
  <c r="AU78" i="1" s="1"/>
  <c r="AM77" i="1"/>
  <c r="AU77" i="1" s="1"/>
  <c r="AM76" i="1"/>
  <c r="AU76" i="1" s="1"/>
  <c r="AM75" i="1"/>
  <c r="AU75" i="1" s="1"/>
  <c r="AM74" i="1"/>
  <c r="AU74" i="1" s="1"/>
  <c r="AM73" i="1"/>
  <c r="AU73" i="1" s="1"/>
  <c r="AM72" i="1"/>
  <c r="AU72" i="1" s="1"/>
  <c r="AM71" i="1"/>
  <c r="AU71" i="1"/>
  <c r="AM70" i="1"/>
  <c r="AU70" i="1" s="1"/>
  <c r="AM69" i="1"/>
  <c r="AU69" i="1" s="1"/>
  <c r="AM68" i="1"/>
  <c r="AU68" i="1" s="1"/>
  <c r="AM67" i="1"/>
  <c r="AU67" i="1" s="1"/>
  <c r="AM66" i="1"/>
  <c r="AU66" i="1" s="1"/>
  <c r="AM65" i="1"/>
  <c r="AU65" i="1" s="1"/>
  <c r="AM64" i="1"/>
  <c r="AU64" i="1" s="1"/>
  <c r="AM63" i="1"/>
  <c r="AU63" i="1" s="1"/>
  <c r="AM62" i="1"/>
  <c r="AU62" i="1" s="1"/>
  <c r="AM61" i="1"/>
  <c r="AU61" i="1"/>
  <c r="AM60" i="1"/>
  <c r="AU60" i="1" s="1"/>
  <c r="AM59" i="1"/>
  <c r="AU59" i="1" s="1"/>
  <c r="AM58" i="1"/>
  <c r="AU58" i="1" s="1"/>
  <c r="AM57" i="1"/>
  <c r="AU57" i="1" s="1"/>
  <c r="AM56" i="1"/>
  <c r="AU56" i="1" s="1"/>
  <c r="AM55" i="1"/>
  <c r="AU55" i="1" s="1"/>
  <c r="AM54" i="1"/>
  <c r="AU54" i="1" s="1"/>
  <c r="AM53" i="1"/>
  <c r="AU53" i="1" s="1"/>
  <c r="AM52" i="1"/>
  <c r="AU52" i="1" s="1"/>
  <c r="AM51" i="1"/>
  <c r="AU51" i="1"/>
  <c r="AM50" i="1"/>
  <c r="AU50" i="1"/>
  <c r="AM49" i="1"/>
  <c r="AU49" i="1"/>
  <c r="AM48" i="1"/>
  <c r="AU48" i="1"/>
  <c r="AM47" i="1"/>
  <c r="AU47" i="1" s="1"/>
  <c r="AM46" i="1"/>
  <c r="AU46" i="1" s="1"/>
  <c r="AM45" i="1"/>
  <c r="AU45" i="1" s="1"/>
  <c r="AM44" i="1"/>
  <c r="AU44" i="1" s="1"/>
  <c r="AM43" i="1"/>
  <c r="AU43" i="1"/>
  <c r="AM42" i="1"/>
  <c r="AU42" i="1"/>
  <c r="AM41" i="1"/>
  <c r="AU41" i="1"/>
  <c r="AM40" i="1"/>
  <c r="AU40" i="1" s="1"/>
  <c r="AM39" i="1"/>
  <c r="AU39" i="1" s="1"/>
  <c r="AM38" i="1"/>
  <c r="AU38" i="1"/>
  <c r="AM37" i="1"/>
  <c r="AU37" i="1"/>
  <c r="AM36" i="1"/>
  <c r="AU36" i="1" s="1"/>
  <c r="AM35" i="1"/>
  <c r="AU35" i="1" s="1"/>
  <c r="AM34" i="1"/>
  <c r="AU34" i="1"/>
  <c r="AM33" i="1"/>
  <c r="AU33" i="1"/>
  <c r="AM32" i="1"/>
  <c r="AU32" i="1"/>
  <c r="AM31" i="1"/>
  <c r="AU31" i="1" s="1"/>
  <c r="AM30" i="1"/>
  <c r="AU30" i="1"/>
  <c r="AM29" i="1"/>
  <c r="AU29" i="1"/>
  <c r="AM28" i="1"/>
  <c r="AU28" i="1" s="1"/>
  <c r="AM27" i="1"/>
  <c r="AU27" i="1" s="1"/>
  <c r="AM26" i="1"/>
  <c r="AU26" i="1" s="1"/>
  <c r="AM25" i="1"/>
  <c r="AU25" i="1"/>
  <c r="AM24" i="1"/>
  <c r="AU24" i="1"/>
  <c r="AM23" i="1"/>
  <c r="AU23" i="1" s="1"/>
  <c r="AM22" i="1"/>
  <c r="AU22" i="1"/>
  <c r="AM21" i="1"/>
  <c r="AU21" i="1"/>
  <c r="AM20" i="1"/>
  <c r="AU20" i="1"/>
  <c r="AM19" i="1"/>
  <c r="AU19" i="1"/>
  <c r="AM18" i="1"/>
  <c r="AU18" i="1"/>
  <c r="AM17" i="1"/>
  <c r="AU17" i="1" s="1"/>
  <c r="AM16" i="1"/>
  <c r="AU16" i="1" s="1"/>
  <c r="AM15" i="1"/>
  <c r="AU15" i="1"/>
  <c r="AM14" i="1"/>
  <c r="AU14" i="1"/>
  <c r="AM13" i="1"/>
  <c r="AU13" i="1" s="1"/>
  <c r="AM12" i="1"/>
  <c r="AU12" i="1" s="1"/>
  <c r="AU11" i="1"/>
  <c r="AM11" i="1"/>
  <c r="AM10" i="1"/>
  <c r="AU10" i="1"/>
  <c r="AU9" i="1"/>
  <c r="AM9" i="1"/>
  <c r="AU8" i="1"/>
  <c r="AM8" i="1"/>
  <c r="AU7" i="1"/>
  <c r="AM7" i="1"/>
  <c r="AU6" i="1"/>
  <c r="AM6" i="1"/>
  <c r="AU5" i="1"/>
  <c r="AM5" i="1"/>
  <c r="AU4" i="1"/>
  <c r="AM4" i="1"/>
  <c r="AU3" i="1"/>
  <c r="AM3" i="1"/>
  <c r="AU2" i="1"/>
  <c r="AM2" i="1"/>
  <c r="M14" i="1"/>
  <c r="M13" i="1"/>
  <c r="M11" i="1"/>
  <c r="M9" i="1"/>
</calcChain>
</file>

<file path=xl/sharedStrings.xml><?xml version="1.0" encoding="utf-8"?>
<sst xmlns="http://schemas.openxmlformats.org/spreadsheetml/2006/main" count="319" uniqueCount="35">
  <si>
    <t>メモリマップ項目</t>
    <rPh sb="6" eb="8">
      <t xml:space="preserve">コウモク </t>
    </rPh>
    <phoneticPr fontId="2"/>
  </si>
  <si>
    <t>アドレス</t>
    <phoneticPr fontId="2"/>
  </si>
  <si>
    <t>入力欄</t>
    <rPh sb="0" eb="3">
      <t xml:space="preserve">ニュウリョクラン </t>
    </rPh>
    <phoneticPr fontId="2"/>
  </si>
  <si>
    <t>SUM</t>
    <phoneticPr fontId="2"/>
  </si>
  <si>
    <t>DL</t>
    <phoneticPr fontId="2"/>
  </si>
  <si>
    <t>AD</t>
    <phoneticPr fontId="2"/>
  </si>
  <si>
    <t>DATA SUM</t>
    <phoneticPr fontId="2"/>
  </si>
  <si>
    <t>hoge.hex（Intel HEX形式データ）</t>
    <phoneticPr fontId="2"/>
  </si>
  <si>
    <t>データ長</t>
    <phoneticPr fontId="2"/>
  </si>
  <si>
    <t>78BF3010BF5E841A</t>
  </si>
  <si>
    <t>データレコード</t>
    <phoneticPr fontId="2"/>
  </si>
  <si>
    <t>開始アドレス</t>
    <rPh sb="0" eb="2">
      <t xml:space="preserve">カイシアドレス </t>
    </rPh>
    <phoneticPr fontId="2"/>
  </si>
  <si>
    <t>BD00</t>
    <phoneticPr fontId="2"/>
  </si>
  <si>
    <t>6742280B245A6780</t>
  </si>
  <si>
    <t>終了アドレス</t>
    <rPh sb="0" eb="2">
      <t xml:space="preserve">シュウリョウ </t>
    </rPh>
    <phoneticPr fontId="2"/>
  </si>
  <si>
    <t>メモリマップ</t>
    <phoneticPr fontId="2"/>
  </si>
  <si>
    <t>項目</t>
    <rPh sb="0" eb="2">
      <t xml:space="preserve">コウモク </t>
    </rPh>
    <phoneticPr fontId="2"/>
  </si>
  <si>
    <t>長さ</t>
    <rPh sb="0" eb="1">
      <t xml:space="preserve">ナガサ </t>
    </rPh>
    <phoneticPr fontId="2"/>
  </si>
  <si>
    <t>STAGE 2 メイン・ルーチン</t>
    <rPh sb="14" eb="15">
      <t xml:space="preserve">テ </t>
    </rPh>
    <phoneticPr fontId="2"/>
  </si>
  <si>
    <t>STAGE 1 洞窟データ</t>
    <rPh sb="8" eb="10">
      <t xml:space="preserve">ドウクツ </t>
    </rPh>
    <phoneticPr fontId="2"/>
  </si>
  <si>
    <t>STAGE 4 洞窟データ</t>
    <rPh sb="8" eb="10">
      <t xml:space="preserve">ドウクツ </t>
    </rPh>
    <phoneticPr fontId="2"/>
  </si>
  <si>
    <t>空き領域</t>
    <rPh sb="0" eb="1">
      <t xml:space="preserve">アキ </t>
    </rPh>
    <rPh sb="2" eb="4">
      <t xml:space="preserve">リョウイキ </t>
    </rPh>
    <phoneticPr fontId="2"/>
  </si>
  <si>
    <t>STAGE 1, 3, 4 メイン・ルーチン</t>
    <rPh sb="20" eb="21">
      <t xml:space="preserve">テ </t>
    </rPh>
    <phoneticPr fontId="2"/>
  </si>
  <si>
    <t>サブルーチン群（効果音出力他）</t>
    <rPh sb="6" eb="7">
      <t xml:space="preserve">グン </t>
    </rPh>
    <rPh sb="8" eb="11">
      <t xml:space="preserve">コウカオン </t>
    </rPh>
    <rPh sb="11" eb="13">
      <t xml:space="preserve">シュツリョク </t>
    </rPh>
    <rPh sb="13" eb="14">
      <t xml:space="preserve">ホカ </t>
    </rPh>
    <phoneticPr fontId="2"/>
  </si>
  <si>
    <t>曲データ＆デモ用サブルーチン</t>
    <rPh sb="0" eb="1">
      <t xml:space="preserve">キョクデータ </t>
    </rPh>
    <phoneticPr fontId="2"/>
  </si>
  <si>
    <t>変数エリア</t>
    <rPh sb="0" eb="2">
      <t xml:space="preserve">ヘンスウエリア </t>
    </rPh>
    <phoneticPr fontId="2"/>
  </si>
  <si>
    <t>内を入力</t>
    <rPh sb="0" eb="1">
      <t>🈚️</t>
    </rPh>
    <rPh sb="2" eb="4">
      <t xml:space="preserve">ニュウリョク </t>
    </rPh>
    <phoneticPr fontId="2"/>
  </si>
  <si>
    <t>内を変更</t>
    <rPh sb="0" eb="1">
      <t>🈚️</t>
    </rPh>
    <rPh sb="2" eb="4">
      <t xml:space="preserve">ヘンコウ </t>
    </rPh>
    <phoneticPr fontId="2"/>
  </si>
  <si>
    <t>内をファイルへコピペ</t>
    <rPh sb="0" eb="1">
      <t>🈚️</t>
    </rPh>
    <phoneticPr fontId="2"/>
  </si>
  <si>
    <t>行を追加したい場合は、ある行を行ごとコピーして、</t>
    <phoneticPr fontId="2"/>
  </si>
  <si>
    <t>エンドレコード</t>
    <phoneticPr fontId="2"/>
  </si>
  <si>
    <t>までコピーする。</t>
    <phoneticPr fontId="2"/>
  </si>
  <si>
    <t>その後、X列とZ列〜AU列の１行目をコピーして、</t>
    <rPh sb="5" eb="6">
      <t xml:space="preserve">レツ </t>
    </rPh>
    <rPh sb="8" eb="9">
      <t xml:space="preserve">レツ </t>
    </rPh>
    <rPh sb="12" eb="13">
      <t xml:space="preserve">レツ </t>
    </rPh>
    <phoneticPr fontId="2"/>
  </si>
  <si>
    <t>２行目から最終行の１行前（エンドレコードは残す）</t>
    <rPh sb="5" eb="8">
      <t xml:space="preserve">サイシュウギョウ </t>
    </rPh>
    <rPh sb="21" eb="22">
      <t xml:space="preserve">ノコス </t>
    </rPh>
    <phoneticPr fontId="2"/>
  </si>
  <si>
    <t>その下の行へ、必要な行の分だけ貼り付ける。</t>
    <rPh sb="7" eb="13">
      <t xml:space="preserve">ヒツヨウブンダケ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</si>
</sst>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游ゴシック"/>
      <family val="2"/>
      <charset val="128"/>
      <scheme val="minor"/>
    </font>
    <font>
      <sz val="12"/>
      <color theme="1"/>
      <name val="PlemolJP Regular"/>
    </font>
    <font>
      <sz val="6"/>
      <name val="游ゴシック"/>
      <family val="2"/>
      <charset val="128"/>
      <scheme val="minor"/>
    </font>
    <font>
      <sz val="14"/>
      <color theme="1"/>
      <name val="PlemolJP Regular"/>
    </font>
    <font>
      <sz val="11"/>
      <color theme="1"/>
      <name val="PlemolJP Regula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49" fontId="1" fillId="0" borderId="0" xfId="0" applyNumberFormat="1" applyFont="1" applyAlignment="1">
      <alignment horizontal="right" vertical="center" shrinkToFit="1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shrinkToFit="1"/>
    </xf>
    <xf numFmtId="0" fontId="1" fillId="0" borderId="2" xfId="0" applyFont="1" applyBorder="1" applyAlignment="1">
      <alignment vertical="center" shrinkToFit="1"/>
    </xf>
    <xf numFmtId="0" fontId="3" fillId="0" borderId="5" xfId="0" applyFont="1" applyBorder="1">
      <alignment vertical="center"/>
    </xf>
    <xf numFmtId="49" fontId="3" fillId="0" borderId="6" xfId="0" applyNumberFormat="1" applyFont="1" applyBorder="1">
      <alignment vertical="center"/>
    </xf>
    <xf numFmtId="0" fontId="1" fillId="0" borderId="7" xfId="0" applyFont="1" applyBorder="1" applyAlignment="1">
      <alignment vertical="center" shrinkToFit="1"/>
    </xf>
    <xf numFmtId="0" fontId="1" fillId="0" borderId="2" xfId="0" applyFont="1" applyBorder="1" applyAlignment="1">
      <alignment horizontal="center" vertical="center" shrinkToFit="1"/>
    </xf>
    <xf numFmtId="0" fontId="1" fillId="0" borderId="0" xfId="0" applyFont="1" applyAlignment="1">
      <alignment vertical="center" shrinkToFit="1"/>
    </xf>
    <xf numFmtId="0" fontId="3" fillId="2" borderId="2" xfId="0" applyFont="1" applyFill="1" applyBorder="1">
      <alignment vertical="center"/>
    </xf>
    <xf numFmtId="49" fontId="3" fillId="0" borderId="10" xfId="0" applyNumberFormat="1" applyFont="1" applyBorder="1">
      <alignment vertical="center"/>
    </xf>
    <xf numFmtId="0" fontId="1" fillId="0" borderId="2" xfId="0" applyFont="1" applyBorder="1" applyAlignment="1">
      <alignment horizontal="right" vertical="center" shrinkToFit="1"/>
    </xf>
    <xf numFmtId="49" fontId="1" fillId="0" borderId="14" xfId="0" applyNumberFormat="1" applyFont="1" applyBorder="1" applyAlignment="1">
      <alignment horizontal="right" vertical="center" shrinkToFit="1"/>
    </xf>
    <xf numFmtId="0" fontId="1" fillId="3" borderId="16" xfId="0" applyFont="1" applyFill="1" applyBorder="1">
      <alignment vertical="center"/>
    </xf>
    <xf numFmtId="49" fontId="1" fillId="2" borderId="2" xfId="0" applyNumberFormat="1" applyFont="1" applyFill="1" applyBorder="1" applyAlignment="1">
      <alignment horizontal="right" vertical="center" shrinkToFit="1"/>
    </xf>
    <xf numFmtId="0" fontId="4" fillId="0" borderId="0" xfId="0" applyFont="1">
      <alignment vertical="center"/>
    </xf>
    <xf numFmtId="0" fontId="3" fillId="0" borderId="10" xfId="0" applyFont="1" applyBorder="1">
      <alignment vertical="center"/>
    </xf>
    <xf numFmtId="0" fontId="3" fillId="0" borderId="17" xfId="0" applyFont="1" applyBorder="1">
      <alignment vertical="center"/>
    </xf>
    <xf numFmtId="0" fontId="1" fillId="0" borderId="2" xfId="0" applyFont="1" applyBorder="1" applyAlignment="1">
      <alignment vertical="center" shrinkToFit="1"/>
    </xf>
    <xf numFmtId="0" fontId="1" fillId="0" borderId="3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5" xfId="0" applyFont="1" applyBorder="1" applyAlignment="1">
      <alignment vertical="center" shrinkToFit="1"/>
    </xf>
    <xf numFmtId="49" fontId="1" fillId="0" borderId="8" xfId="0" applyNumberFormat="1" applyFont="1" applyBorder="1" applyAlignment="1">
      <alignment horizontal="center" vertical="center" shrinkToFit="1"/>
    </xf>
    <xf numFmtId="49" fontId="1" fillId="0" borderId="9" xfId="0" applyNumberFormat="1" applyFont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shrinkToFit="1"/>
    </xf>
    <xf numFmtId="0" fontId="1" fillId="0" borderId="12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0" fontId="1" fillId="3" borderId="2" xfId="0" applyFont="1" applyFill="1" applyBorder="1" applyAlignment="1">
      <alignment vertical="center" shrinkToFit="1"/>
    </xf>
    <xf numFmtId="0" fontId="1" fillId="3" borderId="2" xfId="0" applyFont="1" applyFill="1" applyBorder="1" applyAlignment="1">
      <alignment horizontal="center" vertical="center" shrinkToFit="1"/>
    </xf>
    <xf numFmtId="0" fontId="1" fillId="3" borderId="5" xfId="0" applyFont="1" applyFill="1" applyBorder="1" applyAlignment="1">
      <alignment vertical="center" shrinkToFit="1"/>
    </xf>
    <xf numFmtId="0" fontId="1" fillId="3" borderId="13" xfId="0" applyFont="1" applyFill="1" applyBorder="1" applyAlignment="1">
      <alignment vertical="center" shrinkToFit="1"/>
    </xf>
    <xf numFmtId="0" fontId="1" fillId="3" borderId="7" xfId="0" applyFont="1" applyFill="1" applyBorder="1" applyAlignment="1">
      <alignment vertical="center" shrinkToFit="1"/>
    </xf>
    <xf numFmtId="49" fontId="1" fillId="0" borderId="15" xfId="0" applyNumberFormat="1" applyFont="1" applyBorder="1" applyAlignment="1">
      <alignment vertical="center" shrinkToFit="1"/>
    </xf>
    <xf numFmtId="49" fontId="1" fillId="0" borderId="0" xfId="0" applyNumberFormat="1" applyFont="1" applyAlignment="1">
      <alignment vertical="center" shrinkToFit="1"/>
    </xf>
    <xf numFmtId="49" fontId="1" fillId="0" borderId="18" xfId="0" applyNumberFormat="1" applyFont="1" applyBorder="1" applyAlignment="1">
      <alignment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5D9BA-5E4D-324F-B87E-87E31F903D0B}">
  <dimension ref="A1:AU284"/>
  <sheetViews>
    <sheetView tabSelected="1" zoomScaleNormal="100" workbookViewId="0">
      <pane ySplit="1" topLeftCell="A2" activePane="bottomLeft" state="frozen"/>
      <selection pane="bottomLeft" activeCell="Y2" sqref="Y2"/>
    </sheetView>
  </sheetViews>
  <sheetFormatPr baseColWidth="10" defaultColWidth="2.85546875" defaultRowHeight="18" customHeight="1"/>
  <cols>
    <col min="1" max="12" width="2.85546875" style="2"/>
    <col min="13" max="13" width="5.7109375" style="2" bestFit="1" customWidth="1"/>
    <col min="14" max="23" width="2.85546875" style="2"/>
    <col min="24" max="24" width="5.7109375" style="2" bestFit="1" customWidth="1"/>
    <col min="25" max="25" width="18.85546875" style="2" customWidth="1"/>
    <col min="26" max="26" width="4.28515625" style="2" bestFit="1" customWidth="1"/>
    <col min="27" max="27" width="2.85546875" style="2"/>
    <col min="28" max="39" width="5.7109375" style="2" hidden="1" customWidth="1"/>
    <col min="40" max="40" width="0" style="2" hidden="1" customWidth="1"/>
    <col min="41" max="46" width="2.85546875" style="2"/>
    <col min="47" max="47" width="31.42578125" style="2" bestFit="1" customWidth="1"/>
    <col min="48" max="16384" width="2.85546875" style="2"/>
  </cols>
  <sheetData>
    <row r="1" spans="1:47" ht="18" customHeight="1" thickBot="1">
      <c r="A1" s="1"/>
      <c r="B1" s="1"/>
      <c r="C1" s="1"/>
      <c r="D1" s="1"/>
      <c r="E1" s="1"/>
      <c r="F1" s="1"/>
      <c r="G1" s="1"/>
      <c r="H1" s="1"/>
      <c r="O1" s="2" t="s">
        <v>0</v>
      </c>
      <c r="X1" s="3" t="s">
        <v>1</v>
      </c>
      <c r="Y1" s="4" t="s">
        <v>2</v>
      </c>
      <c r="Z1" s="3" t="s">
        <v>3</v>
      </c>
      <c r="AB1" s="5" t="s">
        <v>4</v>
      </c>
      <c r="AC1" s="5" t="s">
        <v>5</v>
      </c>
      <c r="AD1" s="5" t="s">
        <v>5</v>
      </c>
      <c r="AE1" s="5">
        <v>0</v>
      </c>
      <c r="AF1" s="5">
        <v>1</v>
      </c>
      <c r="AG1" s="5">
        <v>2</v>
      </c>
      <c r="AH1" s="5">
        <v>3</v>
      </c>
      <c r="AI1" s="5">
        <v>4</v>
      </c>
      <c r="AJ1" s="5">
        <v>5</v>
      </c>
      <c r="AK1" s="5">
        <v>6</v>
      </c>
      <c r="AL1" s="5">
        <v>7</v>
      </c>
      <c r="AM1" s="5" t="s">
        <v>6</v>
      </c>
      <c r="AU1" s="4" t="s">
        <v>7</v>
      </c>
    </row>
    <row r="2" spans="1:47" ht="18" customHeight="1" thickBot="1">
      <c r="A2" s="21" t="s">
        <v>8</v>
      </c>
      <c r="B2" s="21"/>
      <c r="C2" s="21"/>
      <c r="D2" s="21"/>
      <c r="E2" s="22">
        <v>8</v>
      </c>
      <c r="F2" s="23"/>
      <c r="G2" s="1"/>
      <c r="O2" s="2" t="str">
        <f>$A$8</f>
        <v>STAGE 2 メイン・ルーチン</v>
      </c>
      <c r="X2" s="7" t="str">
        <f>DEC2HEX(AC2,2)&amp;DEC2HEX(AD2,2)</f>
        <v>BD00</v>
      </c>
      <c r="Y2" s="8" t="s">
        <v>9</v>
      </c>
      <c r="Z2" s="9" t="str">
        <f>":" &amp; RIGHT(DEC2HEX(SUM(AE2:AL2),3),2)</f>
        <v>:32</v>
      </c>
      <c r="AB2" s="6">
        <f>$E$2</f>
        <v>8</v>
      </c>
      <c r="AC2" s="6">
        <f>HEX2DEC(LEFT(DEC2HEX(HEX2DEC($E$3)+(ROW($AC2)-ROW($AC$2))*$E$2,4),2))</f>
        <v>189</v>
      </c>
      <c r="AD2" s="6">
        <f>HEX2DEC(MID(DEC2HEX(HEX2DEC($E$3)+(ROW($AD2)-ROW($AD$2))*$E$2,4),3,2))</f>
        <v>0</v>
      </c>
      <c r="AE2" s="9">
        <f t="shared" ref="AE2:AL17" si="0">HEX2DEC(MID($Y2,(COLUMN(AE2) - COLUMN($AE2)) * 2 + 1,2))</f>
        <v>120</v>
      </c>
      <c r="AF2" s="9">
        <f t="shared" si="0"/>
        <v>191</v>
      </c>
      <c r="AG2" s="9">
        <f t="shared" si="0"/>
        <v>48</v>
      </c>
      <c r="AH2" s="9">
        <f t="shared" si="0"/>
        <v>16</v>
      </c>
      <c r="AI2" s="9">
        <f t="shared" si="0"/>
        <v>191</v>
      </c>
      <c r="AJ2" s="9">
        <f t="shared" si="0"/>
        <v>94</v>
      </c>
      <c r="AK2" s="9">
        <f t="shared" si="0"/>
        <v>132</v>
      </c>
      <c r="AL2" s="9">
        <f t="shared" si="0"/>
        <v>26</v>
      </c>
      <c r="AM2" s="10" t="str">
        <f>RIGHT(DEC2HEX(256-MOD(SUM(AB2:AL2),256),3),2)</f>
        <v>09</v>
      </c>
      <c r="AO2" s="2" t="s">
        <v>10</v>
      </c>
      <c r="AT2" s="11">
        <f>AT1+1</f>
        <v>1</v>
      </c>
      <c r="AU2" s="12" t="str">
        <f>IF(TRIM(Y2)="","",":"&amp;DEC2HEX(AB2,2)&amp;DEC2HEX(AC2,2)&amp;DEC2HEX(AD2,2)&amp;"00"&amp;DEC2HEX(AE2,2)&amp;DEC2HEX(AF2,2)&amp;DEC2HEX(AG2,2)&amp;DEC2HEX(AH2,2)&amp;DEC2HEX(AI2,2)&amp;DEC2HEX(AJ2,2)&amp;DEC2HEX(AK2,2)&amp;DEC2HEX(AL2,2)&amp;AM2)</f>
        <v>:08BD000078BF3010BF5E841A09</v>
      </c>
    </row>
    <row r="3" spans="1:47" ht="18" customHeight="1" thickBot="1">
      <c r="A3" s="21" t="s">
        <v>11</v>
      </c>
      <c r="B3" s="21"/>
      <c r="C3" s="21"/>
      <c r="D3" s="24"/>
      <c r="E3" s="25" t="s">
        <v>12</v>
      </c>
      <c r="F3" s="26"/>
      <c r="G3" s="1"/>
      <c r="O3" s="2" t="str">
        <f t="shared" ref="O3:O66" si="1">$A$8</f>
        <v>STAGE 2 メイン・ルーチン</v>
      </c>
      <c r="X3" s="7" t="str">
        <f t="shared" ref="X3:X66" si="2">DEC2HEX(AC3,2)&amp;DEC2HEX(AD3,2)</f>
        <v>BD08</v>
      </c>
      <c r="Y3" s="13" t="s">
        <v>13</v>
      </c>
      <c r="Z3" s="9" t="str">
        <f t="shared" ref="Z3:Z66" si="3">":" &amp; RIGHT(DEC2HEX(SUM(AE3:AL3),3),2)</f>
        <v>:41</v>
      </c>
      <c r="AB3" s="6">
        <f t="shared" ref="AB3:AB66" si="4">$E$2</f>
        <v>8</v>
      </c>
      <c r="AC3" s="6">
        <f t="shared" ref="AC3:AC66" si="5">HEX2DEC(LEFT(DEC2HEX(HEX2DEC($E$3)+(ROW($AC3)-ROW($AC$2))*$E$2,4),2))</f>
        <v>189</v>
      </c>
      <c r="AD3" s="6">
        <f t="shared" ref="AD3:AD66" si="6">HEX2DEC(MID(DEC2HEX(HEX2DEC($E$3)+(ROW($AD3)-ROW($AD$2))*$E$2,4),3,2))</f>
        <v>8</v>
      </c>
      <c r="AE3" s="9">
        <f t="shared" si="0"/>
        <v>103</v>
      </c>
      <c r="AF3" s="9">
        <f t="shared" si="0"/>
        <v>66</v>
      </c>
      <c r="AG3" s="9">
        <f t="shared" si="0"/>
        <v>40</v>
      </c>
      <c r="AH3" s="9">
        <f t="shared" si="0"/>
        <v>11</v>
      </c>
      <c r="AI3" s="9">
        <f t="shared" si="0"/>
        <v>36</v>
      </c>
      <c r="AJ3" s="9">
        <f t="shared" si="0"/>
        <v>90</v>
      </c>
      <c r="AK3" s="9">
        <f t="shared" si="0"/>
        <v>103</v>
      </c>
      <c r="AL3" s="9">
        <f t="shared" si="0"/>
        <v>128</v>
      </c>
      <c r="AM3" s="10" t="str">
        <f t="shared" ref="AM3:AM66" si="7">RIGHT(DEC2HEX(256-MOD(SUM(AB3:AL3),256),3),2)</f>
        <v>F2</v>
      </c>
      <c r="AO3" s="2" t="s">
        <v>10</v>
      </c>
      <c r="AT3" s="11">
        <f t="shared" ref="AT3:AT66" si="8">AT2+1</f>
        <v>2</v>
      </c>
      <c r="AU3" s="12" t="str">
        <f t="shared" ref="AU3:AU66" si="9">IF(TRIM(Y3)="","",":"&amp;DEC2HEX(AB3,2)&amp;DEC2HEX(AC3,2)&amp;DEC2HEX(AD3,2)&amp;"00"&amp;DEC2HEX(AE3,2)&amp;DEC2HEX(AF3,2)&amp;DEC2HEX(AG3,2)&amp;DEC2HEX(AH3,2)&amp;DEC2HEX(AI3,2)&amp;DEC2HEX(AJ3,2)&amp;DEC2HEX(AK3,2)&amp;DEC2HEX(AL3,2)&amp;AM3)</f>
        <v>:08BD08006742280B245A6780F2</v>
      </c>
    </row>
    <row r="4" spans="1:47" ht="18" customHeight="1">
      <c r="A4" s="21" t="s">
        <v>14</v>
      </c>
      <c r="B4" s="21"/>
      <c r="C4" s="21"/>
      <c r="D4" s="21"/>
      <c r="E4" s="27" t="str">
        <f>DEC2HEX(HEX2DEC(MID(AU283,4,4))+E2-1,4)</f>
        <v>0007</v>
      </c>
      <c r="F4" s="28"/>
      <c r="G4" s="1"/>
      <c r="O4" s="2" t="str">
        <f t="shared" si="1"/>
        <v>STAGE 2 メイン・ルーチン</v>
      </c>
      <c r="X4" s="7" t="str">
        <f t="shared" si="2"/>
        <v>BD10</v>
      </c>
      <c r="Y4" s="13"/>
      <c r="Z4" s="9" t="str">
        <f t="shared" si="3"/>
        <v>:00</v>
      </c>
      <c r="AB4" s="6">
        <f t="shared" si="4"/>
        <v>8</v>
      </c>
      <c r="AC4" s="6">
        <f t="shared" si="5"/>
        <v>189</v>
      </c>
      <c r="AD4" s="6">
        <f t="shared" si="6"/>
        <v>16</v>
      </c>
      <c r="AE4" s="9">
        <f t="shared" si="0"/>
        <v>0</v>
      </c>
      <c r="AF4" s="9">
        <f t="shared" si="0"/>
        <v>0</v>
      </c>
      <c r="AG4" s="9">
        <f t="shared" si="0"/>
        <v>0</v>
      </c>
      <c r="AH4" s="9">
        <f t="shared" si="0"/>
        <v>0</v>
      </c>
      <c r="AI4" s="9">
        <f t="shared" si="0"/>
        <v>0</v>
      </c>
      <c r="AJ4" s="9">
        <f t="shared" si="0"/>
        <v>0</v>
      </c>
      <c r="AK4" s="9">
        <f t="shared" si="0"/>
        <v>0</v>
      </c>
      <c r="AL4" s="9">
        <f t="shared" si="0"/>
        <v>0</v>
      </c>
      <c r="AM4" s="10" t="str">
        <f t="shared" si="7"/>
        <v>2B</v>
      </c>
      <c r="AO4" s="2" t="s">
        <v>10</v>
      </c>
      <c r="AT4" s="11">
        <f t="shared" si="8"/>
        <v>3</v>
      </c>
      <c r="AU4" s="12" t="str">
        <f t="shared" si="9"/>
        <v/>
      </c>
    </row>
    <row r="5" spans="1:47" ht="18" customHeight="1">
      <c r="O5" s="2" t="str">
        <f t="shared" si="1"/>
        <v>STAGE 2 メイン・ルーチン</v>
      </c>
      <c r="X5" s="7" t="str">
        <f t="shared" si="2"/>
        <v>BD18</v>
      </c>
      <c r="Y5" s="13"/>
      <c r="Z5" s="9" t="str">
        <f t="shared" si="3"/>
        <v>:00</v>
      </c>
      <c r="AB5" s="6">
        <f t="shared" si="4"/>
        <v>8</v>
      </c>
      <c r="AC5" s="6">
        <f t="shared" si="5"/>
        <v>189</v>
      </c>
      <c r="AD5" s="6">
        <f t="shared" si="6"/>
        <v>24</v>
      </c>
      <c r="AE5" s="9">
        <f t="shared" si="0"/>
        <v>0</v>
      </c>
      <c r="AF5" s="9">
        <f t="shared" si="0"/>
        <v>0</v>
      </c>
      <c r="AG5" s="9">
        <f t="shared" si="0"/>
        <v>0</v>
      </c>
      <c r="AH5" s="9">
        <f t="shared" si="0"/>
        <v>0</v>
      </c>
      <c r="AI5" s="9">
        <f t="shared" si="0"/>
        <v>0</v>
      </c>
      <c r="AJ5" s="9">
        <f t="shared" si="0"/>
        <v>0</v>
      </c>
      <c r="AK5" s="9">
        <f t="shared" si="0"/>
        <v>0</v>
      </c>
      <c r="AL5" s="9">
        <f t="shared" si="0"/>
        <v>0</v>
      </c>
      <c r="AM5" s="10" t="str">
        <f t="shared" si="7"/>
        <v>23</v>
      </c>
      <c r="AO5" s="2" t="s">
        <v>10</v>
      </c>
      <c r="AT5" s="11">
        <f t="shared" si="8"/>
        <v>4</v>
      </c>
      <c r="AU5" s="12" t="str">
        <f t="shared" si="9"/>
        <v/>
      </c>
    </row>
    <row r="6" spans="1:47" ht="18" customHeight="1">
      <c r="A6" s="2" t="s">
        <v>15</v>
      </c>
      <c r="O6" s="2" t="str">
        <f t="shared" si="1"/>
        <v>STAGE 2 メイン・ルーチン</v>
      </c>
      <c r="X6" s="7" t="str">
        <f t="shared" si="2"/>
        <v>BD20</v>
      </c>
      <c r="Y6" s="13"/>
      <c r="Z6" s="9" t="str">
        <f t="shared" si="3"/>
        <v>:00</v>
      </c>
      <c r="AB6" s="6">
        <f t="shared" si="4"/>
        <v>8</v>
      </c>
      <c r="AC6" s="6">
        <f t="shared" si="5"/>
        <v>189</v>
      </c>
      <c r="AD6" s="6">
        <f t="shared" si="6"/>
        <v>32</v>
      </c>
      <c r="AE6" s="9">
        <f t="shared" si="0"/>
        <v>0</v>
      </c>
      <c r="AF6" s="9">
        <f t="shared" si="0"/>
        <v>0</v>
      </c>
      <c r="AG6" s="9">
        <f t="shared" si="0"/>
        <v>0</v>
      </c>
      <c r="AH6" s="9">
        <f t="shared" si="0"/>
        <v>0</v>
      </c>
      <c r="AI6" s="9">
        <f t="shared" si="0"/>
        <v>0</v>
      </c>
      <c r="AJ6" s="9">
        <f t="shared" si="0"/>
        <v>0</v>
      </c>
      <c r="AK6" s="9">
        <f t="shared" si="0"/>
        <v>0</v>
      </c>
      <c r="AL6" s="9">
        <f t="shared" si="0"/>
        <v>0</v>
      </c>
      <c r="AM6" s="10" t="str">
        <f t="shared" si="7"/>
        <v>1B</v>
      </c>
      <c r="AO6" s="2" t="s">
        <v>10</v>
      </c>
      <c r="AT6" s="11">
        <f t="shared" si="8"/>
        <v>5</v>
      </c>
      <c r="AU6" s="12" t="str">
        <f t="shared" si="9"/>
        <v/>
      </c>
    </row>
    <row r="7" spans="1:47" ht="18" customHeight="1">
      <c r="A7" s="29" t="s">
        <v>16</v>
      </c>
      <c r="B7" s="29"/>
      <c r="C7" s="29"/>
      <c r="D7" s="29"/>
      <c r="E7" s="29"/>
      <c r="F7" s="29"/>
      <c r="G7" s="29"/>
      <c r="H7" s="29"/>
      <c r="I7" s="29"/>
      <c r="J7" s="29"/>
      <c r="K7" s="29" t="s">
        <v>1</v>
      </c>
      <c r="L7" s="29"/>
      <c r="M7" s="10" t="s">
        <v>17</v>
      </c>
      <c r="O7" s="2" t="str">
        <f t="shared" si="1"/>
        <v>STAGE 2 メイン・ルーチン</v>
      </c>
      <c r="X7" s="7" t="str">
        <f t="shared" si="2"/>
        <v>BD28</v>
      </c>
      <c r="Y7" s="13"/>
      <c r="Z7" s="9" t="str">
        <f t="shared" si="3"/>
        <v>:00</v>
      </c>
      <c r="AB7" s="6">
        <f t="shared" si="4"/>
        <v>8</v>
      </c>
      <c r="AC7" s="6">
        <f t="shared" si="5"/>
        <v>189</v>
      </c>
      <c r="AD7" s="6">
        <f t="shared" si="6"/>
        <v>40</v>
      </c>
      <c r="AE7" s="9">
        <f t="shared" si="0"/>
        <v>0</v>
      </c>
      <c r="AF7" s="9">
        <f t="shared" si="0"/>
        <v>0</v>
      </c>
      <c r="AG7" s="9">
        <f t="shared" si="0"/>
        <v>0</v>
      </c>
      <c r="AH7" s="9">
        <f t="shared" si="0"/>
        <v>0</v>
      </c>
      <c r="AI7" s="9">
        <f t="shared" si="0"/>
        <v>0</v>
      </c>
      <c r="AJ7" s="9">
        <f t="shared" si="0"/>
        <v>0</v>
      </c>
      <c r="AK7" s="9">
        <f t="shared" si="0"/>
        <v>0</v>
      </c>
      <c r="AL7" s="9">
        <f t="shared" si="0"/>
        <v>0</v>
      </c>
      <c r="AM7" s="10" t="str">
        <f t="shared" si="7"/>
        <v>13</v>
      </c>
      <c r="AO7" s="2" t="s">
        <v>10</v>
      </c>
      <c r="AT7" s="11">
        <f t="shared" si="8"/>
        <v>6</v>
      </c>
      <c r="AU7" s="12" t="str">
        <f t="shared" si="9"/>
        <v/>
      </c>
    </row>
    <row r="8" spans="1:47" ht="18" customHeight="1">
      <c r="A8" s="30" t="s">
        <v>18</v>
      </c>
      <c r="B8" s="30"/>
      <c r="C8" s="30"/>
      <c r="D8" s="30"/>
      <c r="E8" s="30"/>
      <c r="F8" s="30"/>
      <c r="G8" s="30"/>
      <c r="H8" s="30"/>
      <c r="I8" s="30"/>
      <c r="J8" s="30"/>
      <c r="K8" s="31" t="str">
        <f>X2</f>
        <v>BD00</v>
      </c>
      <c r="L8" s="31"/>
      <c r="M8" s="14">
        <f t="shared" ref="M8:M15" si="10">HEX2DEC(K9)-HEX2DEC(K8)</f>
        <v>768</v>
      </c>
      <c r="O8" s="2" t="str">
        <f t="shared" si="1"/>
        <v>STAGE 2 メイン・ルーチン</v>
      </c>
      <c r="X8" s="7" t="str">
        <f t="shared" si="2"/>
        <v>BD30</v>
      </c>
      <c r="Y8" s="13"/>
      <c r="Z8" s="9" t="str">
        <f t="shared" si="3"/>
        <v>:00</v>
      </c>
      <c r="AB8" s="6">
        <f t="shared" si="4"/>
        <v>8</v>
      </c>
      <c r="AC8" s="6">
        <f t="shared" si="5"/>
        <v>189</v>
      </c>
      <c r="AD8" s="6">
        <f t="shared" si="6"/>
        <v>48</v>
      </c>
      <c r="AE8" s="9">
        <f t="shared" si="0"/>
        <v>0</v>
      </c>
      <c r="AF8" s="9">
        <f t="shared" si="0"/>
        <v>0</v>
      </c>
      <c r="AG8" s="9">
        <f t="shared" si="0"/>
        <v>0</v>
      </c>
      <c r="AH8" s="9">
        <f t="shared" si="0"/>
        <v>0</v>
      </c>
      <c r="AI8" s="9">
        <f t="shared" si="0"/>
        <v>0</v>
      </c>
      <c r="AJ8" s="9">
        <f t="shared" si="0"/>
        <v>0</v>
      </c>
      <c r="AK8" s="9">
        <f t="shared" si="0"/>
        <v>0</v>
      </c>
      <c r="AL8" s="9">
        <f t="shared" si="0"/>
        <v>0</v>
      </c>
      <c r="AM8" s="10" t="str">
        <f t="shared" si="7"/>
        <v>0B</v>
      </c>
      <c r="AO8" s="2" t="s">
        <v>10</v>
      </c>
      <c r="AT8" s="11">
        <f t="shared" si="8"/>
        <v>7</v>
      </c>
      <c r="AU8" s="12" t="str">
        <f t="shared" si="9"/>
        <v/>
      </c>
    </row>
    <row r="9" spans="1:47" ht="18" customHeight="1">
      <c r="A9" s="32" t="s">
        <v>19</v>
      </c>
      <c r="B9" s="33"/>
      <c r="C9" s="33"/>
      <c r="D9" s="33"/>
      <c r="E9" s="33"/>
      <c r="F9" s="33"/>
      <c r="G9" s="33"/>
      <c r="H9" s="33"/>
      <c r="I9" s="33"/>
      <c r="J9" s="34"/>
      <c r="K9" s="31" t="str">
        <f>X98</f>
        <v>C000</v>
      </c>
      <c r="L9" s="31"/>
      <c r="M9" s="14">
        <f t="shared" si="10"/>
        <v>256</v>
      </c>
      <c r="O9" s="2" t="str">
        <f t="shared" si="1"/>
        <v>STAGE 2 メイン・ルーチン</v>
      </c>
      <c r="X9" s="7" t="str">
        <f t="shared" si="2"/>
        <v>BD38</v>
      </c>
      <c r="Y9" s="13"/>
      <c r="Z9" s="9" t="str">
        <f t="shared" si="3"/>
        <v>:00</v>
      </c>
      <c r="AB9" s="6">
        <f t="shared" si="4"/>
        <v>8</v>
      </c>
      <c r="AC9" s="6">
        <f t="shared" si="5"/>
        <v>189</v>
      </c>
      <c r="AD9" s="6">
        <f t="shared" si="6"/>
        <v>56</v>
      </c>
      <c r="AE9" s="9">
        <f t="shared" si="0"/>
        <v>0</v>
      </c>
      <c r="AF9" s="9">
        <f t="shared" si="0"/>
        <v>0</v>
      </c>
      <c r="AG9" s="9">
        <f t="shared" si="0"/>
        <v>0</v>
      </c>
      <c r="AH9" s="9">
        <f t="shared" si="0"/>
        <v>0</v>
      </c>
      <c r="AI9" s="9">
        <f t="shared" si="0"/>
        <v>0</v>
      </c>
      <c r="AJ9" s="9">
        <f t="shared" si="0"/>
        <v>0</v>
      </c>
      <c r="AK9" s="9">
        <f t="shared" si="0"/>
        <v>0</v>
      </c>
      <c r="AL9" s="9">
        <f t="shared" si="0"/>
        <v>0</v>
      </c>
      <c r="AM9" s="10" t="str">
        <f t="shared" si="7"/>
        <v>03</v>
      </c>
      <c r="AO9" s="2" t="s">
        <v>10</v>
      </c>
      <c r="AT9" s="11">
        <f t="shared" si="8"/>
        <v>8</v>
      </c>
      <c r="AU9" s="12" t="str">
        <f t="shared" si="9"/>
        <v/>
      </c>
    </row>
    <row r="10" spans="1:47" ht="18" customHeight="1">
      <c r="A10" s="32" t="s">
        <v>20</v>
      </c>
      <c r="B10" s="33"/>
      <c r="C10" s="33"/>
      <c r="D10" s="33"/>
      <c r="E10" s="33"/>
      <c r="F10" s="33"/>
      <c r="G10" s="33"/>
      <c r="H10" s="33"/>
      <c r="I10" s="33"/>
      <c r="J10" s="34"/>
      <c r="K10" s="31" t="str">
        <f>X130</f>
        <v>C100</v>
      </c>
      <c r="L10" s="31"/>
      <c r="M10" s="14">
        <f t="shared" si="10"/>
        <v>256</v>
      </c>
      <c r="O10" s="2" t="str">
        <f t="shared" si="1"/>
        <v>STAGE 2 メイン・ルーチン</v>
      </c>
      <c r="X10" s="7" t="str">
        <f t="shared" si="2"/>
        <v>BD40</v>
      </c>
      <c r="Y10" s="13"/>
      <c r="Z10" s="9" t="str">
        <f t="shared" si="3"/>
        <v>:00</v>
      </c>
      <c r="AB10" s="6">
        <f t="shared" si="4"/>
        <v>8</v>
      </c>
      <c r="AC10" s="6">
        <f t="shared" si="5"/>
        <v>189</v>
      </c>
      <c r="AD10" s="6">
        <f t="shared" si="6"/>
        <v>64</v>
      </c>
      <c r="AE10" s="9">
        <f t="shared" si="0"/>
        <v>0</v>
      </c>
      <c r="AF10" s="9">
        <f t="shared" si="0"/>
        <v>0</v>
      </c>
      <c r="AG10" s="9">
        <f t="shared" si="0"/>
        <v>0</v>
      </c>
      <c r="AH10" s="9">
        <f t="shared" si="0"/>
        <v>0</v>
      </c>
      <c r="AI10" s="9">
        <f t="shared" si="0"/>
        <v>0</v>
      </c>
      <c r="AJ10" s="9">
        <f t="shared" si="0"/>
        <v>0</v>
      </c>
      <c r="AK10" s="9">
        <f t="shared" si="0"/>
        <v>0</v>
      </c>
      <c r="AL10" s="9">
        <f t="shared" si="0"/>
        <v>0</v>
      </c>
      <c r="AM10" s="10" t="str">
        <f t="shared" si="7"/>
        <v>FB</v>
      </c>
      <c r="AO10" s="2" t="s">
        <v>10</v>
      </c>
      <c r="AT10" s="11">
        <f t="shared" si="8"/>
        <v>9</v>
      </c>
      <c r="AU10" s="12" t="str">
        <f t="shared" si="9"/>
        <v/>
      </c>
    </row>
    <row r="11" spans="1:47" ht="18" customHeight="1">
      <c r="A11" s="30" t="s">
        <v>21</v>
      </c>
      <c r="B11" s="30"/>
      <c r="C11" s="30"/>
      <c r="D11" s="30"/>
      <c r="E11" s="30"/>
      <c r="F11" s="30"/>
      <c r="G11" s="30"/>
      <c r="H11" s="30"/>
      <c r="I11" s="30"/>
      <c r="J11" s="30"/>
      <c r="K11" s="31" t="str">
        <f>X162</f>
        <v>C200</v>
      </c>
      <c r="L11" s="31"/>
      <c r="M11" s="14">
        <f t="shared" si="10"/>
        <v>256</v>
      </c>
      <c r="O11" s="2" t="str">
        <f t="shared" si="1"/>
        <v>STAGE 2 メイン・ルーチン</v>
      </c>
      <c r="X11" s="7" t="str">
        <f t="shared" si="2"/>
        <v>BD48</v>
      </c>
      <c r="Y11" s="13"/>
      <c r="Z11" s="9" t="str">
        <f t="shared" si="3"/>
        <v>:00</v>
      </c>
      <c r="AB11" s="6">
        <f t="shared" si="4"/>
        <v>8</v>
      </c>
      <c r="AC11" s="6">
        <f t="shared" si="5"/>
        <v>189</v>
      </c>
      <c r="AD11" s="6">
        <f t="shared" si="6"/>
        <v>72</v>
      </c>
      <c r="AE11" s="9">
        <f t="shared" si="0"/>
        <v>0</v>
      </c>
      <c r="AF11" s="9">
        <f t="shared" si="0"/>
        <v>0</v>
      </c>
      <c r="AG11" s="9">
        <f t="shared" si="0"/>
        <v>0</v>
      </c>
      <c r="AH11" s="9">
        <f t="shared" si="0"/>
        <v>0</v>
      </c>
      <c r="AI11" s="9">
        <f t="shared" si="0"/>
        <v>0</v>
      </c>
      <c r="AJ11" s="9">
        <f t="shared" si="0"/>
        <v>0</v>
      </c>
      <c r="AK11" s="9">
        <f t="shared" si="0"/>
        <v>0</v>
      </c>
      <c r="AL11" s="9">
        <f t="shared" si="0"/>
        <v>0</v>
      </c>
      <c r="AM11" s="10" t="str">
        <f t="shared" si="7"/>
        <v>F3</v>
      </c>
      <c r="AO11" s="2" t="s">
        <v>10</v>
      </c>
      <c r="AT11" s="11">
        <f t="shared" si="8"/>
        <v>10</v>
      </c>
      <c r="AU11" s="12" t="str">
        <f t="shared" si="9"/>
        <v/>
      </c>
    </row>
    <row r="12" spans="1:47" ht="18" customHeight="1">
      <c r="A12" s="30" t="s">
        <v>22</v>
      </c>
      <c r="B12" s="30"/>
      <c r="C12" s="30"/>
      <c r="D12" s="30"/>
      <c r="E12" s="30"/>
      <c r="F12" s="30"/>
      <c r="G12" s="30"/>
      <c r="H12" s="30"/>
      <c r="I12" s="30"/>
      <c r="J12" s="30"/>
      <c r="K12" s="31" t="str">
        <f>X194</f>
        <v>C300</v>
      </c>
      <c r="L12" s="31"/>
      <c r="M12" s="14">
        <f t="shared" si="10"/>
        <v>280</v>
      </c>
      <c r="O12" s="2" t="str">
        <f t="shared" si="1"/>
        <v>STAGE 2 メイン・ルーチン</v>
      </c>
      <c r="X12" s="7" t="str">
        <f t="shared" si="2"/>
        <v>BD50</v>
      </c>
      <c r="Y12" s="13"/>
      <c r="Z12" s="9" t="str">
        <f t="shared" si="3"/>
        <v>:00</v>
      </c>
      <c r="AB12" s="6">
        <f t="shared" si="4"/>
        <v>8</v>
      </c>
      <c r="AC12" s="6">
        <f t="shared" si="5"/>
        <v>189</v>
      </c>
      <c r="AD12" s="6">
        <f t="shared" si="6"/>
        <v>80</v>
      </c>
      <c r="AE12" s="9">
        <f t="shared" si="0"/>
        <v>0</v>
      </c>
      <c r="AF12" s="9">
        <f t="shared" si="0"/>
        <v>0</v>
      </c>
      <c r="AG12" s="9">
        <f t="shared" si="0"/>
        <v>0</v>
      </c>
      <c r="AH12" s="9">
        <f t="shared" si="0"/>
        <v>0</v>
      </c>
      <c r="AI12" s="9">
        <f t="shared" si="0"/>
        <v>0</v>
      </c>
      <c r="AJ12" s="9">
        <f t="shared" si="0"/>
        <v>0</v>
      </c>
      <c r="AK12" s="9">
        <f t="shared" si="0"/>
        <v>0</v>
      </c>
      <c r="AL12" s="9">
        <f t="shared" si="0"/>
        <v>0</v>
      </c>
      <c r="AM12" s="10" t="str">
        <f t="shared" si="7"/>
        <v>EB</v>
      </c>
      <c r="AO12" s="2" t="s">
        <v>10</v>
      </c>
      <c r="AT12" s="11">
        <f t="shared" si="8"/>
        <v>11</v>
      </c>
      <c r="AU12" s="12" t="str">
        <f t="shared" si="9"/>
        <v/>
      </c>
    </row>
    <row r="13" spans="1:47" ht="18" customHeight="1">
      <c r="A13" s="30" t="s">
        <v>23</v>
      </c>
      <c r="B13" s="30"/>
      <c r="C13" s="30"/>
      <c r="D13" s="30"/>
      <c r="E13" s="30"/>
      <c r="F13" s="30"/>
      <c r="G13" s="30"/>
      <c r="H13" s="30"/>
      <c r="I13" s="30"/>
      <c r="J13" s="30"/>
      <c r="K13" s="31" t="str">
        <f>X229</f>
        <v>C418</v>
      </c>
      <c r="L13" s="31"/>
      <c r="M13" s="14">
        <f t="shared" si="10"/>
        <v>192</v>
      </c>
      <c r="O13" s="2" t="str">
        <f t="shared" si="1"/>
        <v>STAGE 2 メイン・ルーチン</v>
      </c>
      <c r="X13" s="7" t="str">
        <f t="shared" si="2"/>
        <v>BD58</v>
      </c>
      <c r="Y13" s="13"/>
      <c r="Z13" s="9" t="str">
        <f t="shared" si="3"/>
        <v>:00</v>
      </c>
      <c r="AB13" s="6">
        <f t="shared" si="4"/>
        <v>8</v>
      </c>
      <c r="AC13" s="6">
        <f t="shared" si="5"/>
        <v>189</v>
      </c>
      <c r="AD13" s="6">
        <f t="shared" si="6"/>
        <v>88</v>
      </c>
      <c r="AE13" s="9">
        <f t="shared" si="0"/>
        <v>0</v>
      </c>
      <c r="AF13" s="9">
        <f t="shared" si="0"/>
        <v>0</v>
      </c>
      <c r="AG13" s="9">
        <f t="shared" si="0"/>
        <v>0</v>
      </c>
      <c r="AH13" s="9">
        <f t="shared" si="0"/>
        <v>0</v>
      </c>
      <c r="AI13" s="9">
        <f t="shared" si="0"/>
        <v>0</v>
      </c>
      <c r="AJ13" s="9">
        <f t="shared" si="0"/>
        <v>0</v>
      </c>
      <c r="AK13" s="9">
        <f t="shared" si="0"/>
        <v>0</v>
      </c>
      <c r="AL13" s="9">
        <f t="shared" si="0"/>
        <v>0</v>
      </c>
      <c r="AM13" s="10" t="str">
        <f t="shared" si="7"/>
        <v>E3</v>
      </c>
      <c r="AO13" s="2" t="s">
        <v>10</v>
      </c>
      <c r="AT13" s="11">
        <f t="shared" si="8"/>
        <v>12</v>
      </c>
      <c r="AU13" s="12" t="str">
        <f t="shared" si="9"/>
        <v/>
      </c>
    </row>
    <row r="14" spans="1:47" ht="18" customHeight="1">
      <c r="A14" s="30" t="s">
        <v>21</v>
      </c>
      <c r="B14" s="30"/>
      <c r="C14" s="30"/>
      <c r="D14" s="30"/>
      <c r="E14" s="30"/>
      <c r="F14" s="30"/>
      <c r="G14" s="30"/>
      <c r="H14" s="30"/>
      <c r="I14" s="30"/>
      <c r="J14" s="30"/>
      <c r="K14" s="31" t="str">
        <f>X253</f>
        <v>C4D8</v>
      </c>
      <c r="L14" s="31"/>
      <c r="M14" s="14">
        <f t="shared" si="10"/>
        <v>104</v>
      </c>
      <c r="O14" s="2" t="str">
        <f t="shared" si="1"/>
        <v>STAGE 2 メイン・ルーチン</v>
      </c>
      <c r="X14" s="7" t="str">
        <f t="shared" si="2"/>
        <v>BD60</v>
      </c>
      <c r="Y14" s="13"/>
      <c r="Z14" s="9" t="str">
        <f t="shared" si="3"/>
        <v>:00</v>
      </c>
      <c r="AB14" s="6">
        <f t="shared" si="4"/>
        <v>8</v>
      </c>
      <c r="AC14" s="6">
        <f t="shared" si="5"/>
        <v>189</v>
      </c>
      <c r="AD14" s="6">
        <f t="shared" si="6"/>
        <v>96</v>
      </c>
      <c r="AE14" s="9">
        <f t="shared" si="0"/>
        <v>0</v>
      </c>
      <c r="AF14" s="9">
        <f t="shared" si="0"/>
        <v>0</v>
      </c>
      <c r="AG14" s="9">
        <f t="shared" si="0"/>
        <v>0</v>
      </c>
      <c r="AH14" s="9">
        <f t="shared" si="0"/>
        <v>0</v>
      </c>
      <c r="AI14" s="9">
        <f t="shared" si="0"/>
        <v>0</v>
      </c>
      <c r="AJ14" s="9">
        <f t="shared" si="0"/>
        <v>0</v>
      </c>
      <c r="AK14" s="9">
        <f t="shared" si="0"/>
        <v>0</v>
      </c>
      <c r="AL14" s="9">
        <f t="shared" si="0"/>
        <v>0</v>
      </c>
      <c r="AM14" s="10" t="str">
        <f t="shared" si="7"/>
        <v>DB</v>
      </c>
      <c r="AO14" s="2" t="s">
        <v>10</v>
      </c>
      <c r="AT14" s="11">
        <f t="shared" si="8"/>
        <v>13</v>
      </c>
      <c r="AU14" s="12" t="str">
        <f t="shared" si="9"/>
        <v/>
      </c>
    </row>
    <row r="15" spans="1:47" ht="18" customHeight="1">
      <c r="A15" s="30" t="s">
        <v>24</v>
      </c>
      <c r="B15" s="30"/>
      <c r="C15" s="30"/>
      <c r="D15" s="30"/>
      <c r="E15" s="30"/>
      <c r="F15" s="30"/>
      <c r="G15" s="30"/>
      <c r="H15" s="30"/>
      <c r="I15" s="30"/>
      <c r="J15" s="30"/>
      <c r="K15" s="31" t="str">
        <f>X266</f>
        <v>C540</v>
      </c>
      <c r="L15" s="31"/>
      <c r="M15" s="14">
        <f t="shared" si="10"/>
        <v>144</v>
      </c>
      <c r="O15" s="2" t="str">
        <f t="shared" si="1"/>
        <v>STAGE 2 メイン・ルーチン</v>
      </c>
      <c r="X15" s="7" t="str">
        <f t="shared" si="2"/>
        <v>BD68</v>
      </c>
      <c r="Y15" s="13"/>
      <c r="Z15" s="9" t="str">
        <f t="shared" si="3"/>
        <v>:00</v>
      </c>
      <c r="AB15" s="6">
        <f t="shared" si="4"/>
        <v>8</v>
      </c>
      <c r="AC15" s="6">
        <f t="shared" si="5"/>
        <v>189</v>
      </c>
      <c r="AD15" s="6">
        <f t="shared" si="6"/>
        <v>104</v>
      </c>
      <c r="AE15" s="9">
        <f t="shared" si="0"/>
        <v>0</v>
      </c>
      <c r="AF15" s="9">
        <f t="shared" si="0"/>
        <v>0</v>
      </c>
      <c r="AG15" s="9">
        <f t="shared" si="0"/>
        <v>0</v>
      </c>
      <c r="AH15" s="9">
        <f t="shared" si="0"/>
        <v>0</v>
      </c>
      <c r="AI15" s="9">
        <f t="shared" si="0"/>
        <v>0</v>
      </c>
      <c r="AJ15" s="9">
        <f t="shared" si="0"/>
        <v>0</v>
      </c>
      <c r="AK15" s="9">
        <f t="shared" si="0"/>
        <v>0</v>
      </c>
      <c r="AL15" s="9">
        <f t="shared" si="0"/>
        <v>0</v>
      </c>
      <c r="AM15" s="10" t="str">
        <f t="shared" si="7"/>
        <v>D3</v>
      </c>
      <c r="AO15" s="2" t="s">
        <v>10</v>
      </c>
      <c r="AT15" s="11">
        <f t="shared" si="8"/>
        <v>14</v>
      </c>
      <c r="AU15" s="12" t="str">
        <f t="shared" si="9"/>
        <v/>
      </c>
    </row>
    <row r="16" spans="1:47" ht="18" customHeight="1">
      <c r="A16" s="30" t="s">
        <v>25</v>
      </c>
      <c r="B16" s="30"/>
      <c r="C16" s="30"/>
      <c r="D16" s="30"/>
      <c r="E16" s="30"/>
      <c r="F16" s="30"/>
      <c r="G16" s="30"/>
      <c r="H16" s="30"/>
      <c r="I16" s="30"/>
      <c r="J16" s="30"/>
      <c r="K16" s="31" t="str">
        <f>DEC2HEX(HEX2DEC(X283)+8)</f>
        <v>C5D0</v>
      </c>
      <c r="L16" s="31"/>
      <c r="M16" s="14"/>
      <c r="O16" s="2" t="str">
        <f t="shared" si="1"/>
        <v>STAGE 2 メイン・ルーチン</v>
      </c>
      <c r="X16" s="7" t="str">
        <f t="shared" si="2"/>
        <v>BD70</v>
      </c>
      <c r="Y16" s="13"/>
      <c r="Z16" s="9" t="str">
        <f t="shared" si="3"/>
        <v>:00</v>
      </c>
      <c r="AB16" s="6">
        <f t="shared" si="4"/>
        <v>8</v>
      </c>
      <c r="AC16" s="6">
        <f t="shared" si="5"/>
        <v>189</v>
      </c>
      <c r="AD16" s="6">
        <f t="shared" si="6"/>
        <v>112</v>
      </c>
      <c r="AE16" s="9">
        <f t="shared" si="0"/>
        <v>0</v>
      </c>
      <c r="AF16" s="9">
        <f t="shared" si="0"/>
        <v>0</v>
      </c>
      <c r="AG16" s="9">
        <f t="shared" si="0"/>
        <v>0</v>
      </c>
      <c r="AH16" s="9">
        <f t="shared" si="0"/>
        <v>0</v>
      </c>
      <c r="AI16" s="9">
        <f t="shared" si="0"/>
        <v>0</v>
      </c>
      <c r="AJ16" s="9">
        <f t="shared" si="0"/>
        <v>0</v>
      </c>
      <c r="AK16" s="9">
        <f t="shared" si="0"/>
        <v>0</v>
      </c>
      <c r="AL16" s="9">
        <f t="shared" si="0"/>
        <v>0</v>
      </c>
      <c r="AM16" s="10" t="str">
        <f t="shared" si="7"/>
        <v>CB</v>
      </c>
      <c r="AO16" s="2" t="s">
        <v>10</v>
      </c>
      <c r="AT16" s="11">
        <f t="shared" si="8"/>
        <v>15</v>
      </c>
      <c r="AU16" s="12" t="str">
        <f t="shared" si="9"/>
        <v/>
      </c>
    </row>
    <row r="17" spans="1:47" ht="18" customHeight="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1"/>
      <c r="L17" s="31"/>
      <c r="M17" s="14"/>
      <c r="O17" s="2" t="str">
        <f t="shared" si="1"/>
        <v>STAGE 2 メイン・ルーチン</v>
      </c>
      <c r="X17" s="7" t="str">
        <f t="shared" si="2"/>
        <v>BD78</v>
      </c>
      <c r="Y17" s="13"/>
      <c r="Z17" s="9" t="str">
        <f t="shared" si="3"/>
        <v>:00</v>
      </c>
      <c r="AB17" s="6">
        <f t="shared" si="4"/>
        <v>8</v>
      </c>
      <c r="AC17" s="6">
        <f t="shared" si="5"/>
        <v>189</v>
      </c>
      <c r="AD17" s="6">
        <f t="shared" si="6"/>
        <v>120</v>
      </c>
      <c r="AE17" s="9">
        <f t="shared" si="0"/>
        <v>0</v>
      </c>
      <c r="AF17" s="9">
        <f t="shared" si="0"/>
        <v>0</v>
      </c>
      <c r="AG17" s="9">
        <f t="shared" si="0"/>
        <v>0</v>
      </c>
      <c r="AH17" s="9">
        <f t="shared" si="0"/>
        <v>0</v>
      </c>
      <c r="AI17" s="9">
        <f t="shared" si="0"/>
        <v>0</v>
      </c>
      <c r="AJ17" s="9">
        <f t="shared" si="0"/>
        <v>0</v>
      </c>
      <c r="AK17" s="9">
        <f t="shared" si="0"/>
        <v>0</v>
      </c>
      <c r="AL17" s="9">
        <f t="shared" si="0"/>
        <v>0</v>
      </c>
      <c r="AM17" s="10" t="str">
        <f t="shared" si="7"/>
        <v>C3</v>
      </c>
      <c r="AO17" s="2" t="s">
        <v>10</v>
      </c>
      <c r="AT17" s="11">
        <f t="shared" si="8"/>
        <v>16</v>
      </c>
      <c r="AU17" s="12" t="str">
        <f t="shared" si="9"/>
        <v/>
      </c>
    </row>
    <row r="18" spans="1:47" ht="18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1"/>
      <c r="L18" s="31"/>
      <c r="M18" s="14"/>
      <c r="O18" s="2" t="str">
        <f t="shared" si="1"/>
        <v>STAGE 2 メイン・ルーチン</v>
      </c>
      <c r="X18" s="7" t="str">
        <f t="shared" si="2"/>
        <v>BD80</v>
      </c>
      <c r="Y18" s="13"/>
      <c r="Z18" s="9" t="str">
        <f t="shared" si="3"/>
        <v>:00</v>
      </c>
      <c r="AB18" s="6">
        <f t="shared" si="4"/>
        <v>8</v>
      </c>
      <c r="AC18" s="6">
        <f t="shared" si="5"/>
        <v>189</v>
      </c>
      <c r="AD18" s="6">
        <f t="shared" si="6"/>
        <v>128</v>
      </c>
      <c r="AE18" s="9">
        <f t="shared" ref="AE18:AL49" si="11">HEX2DEC(MID($Y18,(COLUMN(AE18) - COLUMN($AE18)) * 2 + 1,2))</f>
        <v>0</v>
      </c>
      <c r="AF18" s="9">
        <f t="shared" si="11"/>
        <v>0</v>
      </c>
      <c r="AG18" s="9">
        <f t="shared" si="11"/>
        <v>0</v>
      </c>
      <c r="AH18" s="9">
        <f t="shared" si="11"/>
        <v>0</v>
      </c>
      <c r="AI18" s="9">
        <f t="shared" si="11"/>
        <v>0</v>
      </c>
      <c r="AJ18" s="9">
        <f t="shared" si="11"/>
        <v>0</v>
      </c>
      <c r="AK18" s="9">
        <f t="shared" si="11"/>
        <v>0</v>
      </c>
      <c r="AL18" s="9">
        <f t="shared" si="11"/>
        <v>0</v>
      </c>
      <c r="AM18" s="10" t="str">
        <f t="shared" si="7"/>
        <v>BB</v>
      </c>
      <c r="AO18" s="2" t="s">
        <v>10</v>
      </c>
      <c r="AT18" s="11">
        <f t="shared" si="8"/>
        <v>17</v>
      </c>
      <c r="AU18" s="12" t="str">
        <f t="shared" si="9"/>
        <v/>
      </c>
    </row>
    <row r="19" spans="1:47" ht="18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1"/>
      <c r="L19" s="31"/>
      <c r="M19" s="14"/>
      <c r="O19" s="2" t="str">
        <f t="shared" si="1"/>
        <v>STAGE 2 メイン・ルーチン</v>
      </c>
      <c r="X19" s="7" t="str">
        <f t="shared" si="2"/>
        <v>BD88</v>
      </c>
      <c r="Y19" s="13"/>
      <c r="Z19" s="9" t="str">
        <f t="shared" si="3"/>
        <v>:00</v>
      </c>
      <c r="AB19" s="6">
        <f t="shared" si="4"/>
        <v>8</v>
      </c>
      <c r="AC19" s="6">
        <f t="shared" si="5"/>
        <v>189</v>
      </c>
      <c r="AD19" s="6">
        <f t="shared" si="6"/>
        <v>136</v>
      </c>
      <c r="AE19" s="9">
        <f t="shared" si="11"/>
        <v>0</v>
      </c>
      <c r="AF19" s="9">
        <f t="shared" si="11"/>
        <v>0</v>
      </c>
      <c r="AG19" s="9">
        <f t="shared" si="11"/>
        <v>0</v>
      </c>
      <c r="AH19" s="9">
        <f t="shared" si="11"/>
        <v>0</v>
      </c>
      <c r="AI19" s="9">
        <f t="shared" si="11"/>
        <v>0</v>
      </c>
      <c r="AJ19" s="9">
        <f t="shared" si="11"/>
        <v>0</v>
      </c>
      <c r="AK19" s="9">
        <f t="shared" si="11"/>
        <v>0</v>
      </c>
      <c r="AL19" s="9">
        <f t="shared" si="11"/>
        <v>0</v>
      </c>
      <c r="AM19" s="10" t="str">
        <f t="shared" si="7"/>
        <v>B3</v>
      </c>
      <c r="AO19" s="2" t="s">
        <v>10</v>
      </c>
      <c r="AT19" s="11">
        <f t="shared" si="8"/>
        <v>18</v>
      </c>
      <c r="AU19" s="12" t="str">
        <f t="shared" si="9"/>
        <v/>
      </c>
    </row>
    <row r="20" spans="1:47" ht="18" customHeight="1" thickBot="1">
      <c r="O20" s="2" t="str">
        <f t="shared" si="1"/>
        <v>STAGE 2 メイン・ルーチン</v>
      </c>
      <c r="X20" s="7" t="str">
        <f t="shared" si="2"/>
        <v>BD90</v>
      </c>
      <c r="Y20" s="13"/>
      <c r="Z20" s="9" t="str">
        <f t="shared" si="3"/>
        <v>:00</v>
      </c>
      <c r="AB20" s="6">
        <f t="shared" si="4"/>
        <v>8</v>
      </c>
      <c r="AC20" s="6">
        <f t="shared" si="5"/>
        <v>189</v>
      </c>
      <c r="AD20" s="6">
        <f t="shared" si="6"/>
        <v>144</v>
      </c>
      <c r="AE20" s="9">
        <f t="shared" si="11"/>
        <v>0</v>
      </c>
      <c r="AF20" s="9">
        <f t="shared" si="11"/>
        <v>0</v>
      </c>
      <c r="AG20" s="9">
        <f t="shared" si="11"/>
        <v>0</v>
      </c>
      <c r="AH20" s="9">
        <f t="shared" si="11"/>
        <v>0</v>
      </c>
      <c r="AI20" s="9">
        <f t="shared" si="11"/>
        <v>0</v>
      </c>
      <c r="AJ20" s="9">
        <f t="shared" si="11"/>
        <v>0</v>
      </c>
      <c r="AK20" s="9">
        <f t="shared" si="11"/>
        <v>0</v>
      </c>
      <c r="AL20" s="9">
        <f t="shared" si="11"/>
        <v>0</v>
      </c>
      <c r="AM20" s="10" t="str">
        <f t="shared" si="7"/>
        <v>AB</v>
      </c>
      <c r="AO20" s="2" t="s">
        <v>10</v>
      </c>
      <c r="AT20" s="11">
        <f t="shared" si="8"/>
        <v>19</v>
      </c>
      <c r="AU20" s="12" t="str">
        <f t="shared" si="9"/>
        <v/>
      </c>
    </row>
    <row r="21" spans="1:47" ht="18" customHeight="1" thickBot="1">
      <c r="A21" s="15"/>
      <c r="B21" s="35" t="s">
        <v>26</v>
      </c>
      <c r="C21" s="36"/>
      <c r="D21" s="36"/>
      <c r="E21" s="36"/>
      <c r="F21" s="36"/>
      <c r="G21" s="36"/>
      <c r="H21" s="36"/>
      <c r="I21" s="36"/>
      <c r="J21" s="36"/>
      <c r="O21" s="2" t="str">
        <f t="shared" si="1"/>
        <v>STAGE 2 メイン・ルーチン</v>
      </c>
      <c r="X21" s="7" t="str">
        <f t="shared" si="2"/>
        <v>BD98</v>
      </c>
      <c r="Y21" s="13"/>
      <c r="Z21" s="9" t="str">
        <f t="shared" si="3"/>
        <v>:00</v>
      </c>
      <c r="AB21" s="6">
        <f t="shared" si="4"/>
        <v>8</v>
      </c>
      <c r="AC21" s="6">
        <f t="shared" si="5"/>
        <v>189</v>
      </c>
      <c r="AD21" s="6">
        <f t="shared" si="6"/>
        <v>152</v>
      </c>
      <c r="AE21" s="9">
        <f t="shared" si="11"/>
        <v>0</v>
      </c>
      <c r="AF21" s="9">
        <f t="shared" si="11"/>
        <v>0</v>
      </c>
      <c r="AG21" s="9">
        <f t="shared" si="11"/>
        <v>0</v>
      </c>
      <c r="AH21" s="9">
        <f t="shared" si="11"/>
        <v>0</v>
      </c>
      <c r="AI21" s="9">
        <f t="shared" si="11"/>
        <v>0</v>
      </c>
      <c r="AJ21" s="9">
        <f t="shared" si="11"/>
        <v>0</v>
      </c>
      <c r="AK21" s="9">
        <f t="shared" si="11"/>
        <v>0</v>
      </c>
      <c r="AL21" s="9">
        <f t="shared" si="11"/>
        <v>0</v>
      </c>
      <c r="AM21" s="10" t="str">
        <f t="shared" si="7"/>
        <v>A3</v>
      </c>
      <c r="AO21" s="2" t="s">
        <v>10</v>
      </c>
      <c r="AT21" s="11">
        <f t="shared" si="8"/>
        <v>20</v>
      </c>
      <c r="AU21" s="12" t="str">
        <f t="shared" si="9"/>
        <v/>
      </c>
    </row>
    <row r="22" spans="1:47" ht="18" customHeight="1">
      <c r="A22" s="16"/>
      <c r="B22" s="37" t="s">
        <v>27</v>
      </c>
      <c r="C22" s="36"/>
      <c r="D22" s="36"/>
      <c r="E22" s="36"/>
      <c r="F22" s="36"/>
      <c r="G22" s="36"/>
      <c r="H22" s="36"/>
      <c r="I22" s="36"/>
      <c r="J22" s="36"/>
      <c r="O22" s="2" t="str">
        <f t="shared" si="1"/>
        <v>STAGE 2 メイン・ルーチン</v>
      </c>
      <c r="X22" s="7" t="str">
        <f t="shared" si="2"/>
        <v>BDA0</v>
      </c>
      <c r="Y22" s="13"/>
      <c r="Z22" s="9" t="str">
        <f t="shared" si="3"/>
        <v>:00</v>
      </c>
      <c r="AB22" s="6">
        <f t="shared" si="4"/>
        <v>8</v>
      </c>
      <c r="AC22" s="6">
        <f t="shared" si="5"/>
        <v>189</v>
      </c>
      <c r="AD22" s="6">
        <f t="shared" si="6"/>
        <v>160</v>
      </c>
      <c r="AE22" s="9">
        <f t="shared" si="11"/>
        <v>0</v>
      </c>
      <c r="AF22" s="9">
        <f t="shared" si="11"/>
        <v>0</v>
      </c>
      <c r="AG22" s="9">
        <f t="shared" si="11"/>
        <v>0</v>
      </c>
      <c r="AH22" s="9">
        <f t="shared" si="11"/>
        <v>0</v>
      </c>
      <c r="AI22" s="9">
        <f t="shared" si="11"/>
        <v>0</v>
      </c>
      <c r="AJ22" s="9">
        <f t="shared" si="11"/>
        <v>0</v>
      </c>
      <c r="AK22" s="9">
        <f t="shared" si="11"/>
        <v>0</v>
      </c>
      <c r="AL22" s="9">
        <f t="shared" si="11"/>
        <v>0</v>
      </c>
      <c r="AM22" s="10" t="str">
        <f t="shared" si="7"/>
        <v>9B</v>
      </c>
      <c r="AO22" s="2" t="s">
        <v>10</v>
      </c>
      <c r="AT22" s="11">
        <f t="shared" si="8"/>
        <v>21</v>
      </c>
      <c r="AU22" s="12" t="str">
        <f t="shared" si="9"/>
        <v/>
      </c>
    </row>
    <row r="23" spans="1:47" ht="18" customHeight="1">
      <c r="A23" s="17"/>
      <c r="B23" s="37" t="s">
        <v>28</v>
      </c>
      <c r="C23" s="36"/>
      <c r="D23" s="36"/>
      <c r="E23" s="36"/>
      <c r="F23" s="36"/>
      <c r="G23" s="36"/>
      <c r="H23" s="36"/>
      <c r="I23" s="36"/>
      <c r="J23" s="36"/>
      <c r="O23" s="2" t="str">
        <f t="shared" si="1"/>
        <v>STAGE 2 メイン・ルーチン</v>
      </c>
      <c r="X23" s="7" t="str">
        <f t="shared" si="2"/>
        <v>BDA8</v>
      </c>
      <c r="Y23" s="13"/>
      <c r="Z23" s="9" t="str">
        <f t="shared" si="3"/>
        <v>:00</v>
      </c>
      <c r="AB23" s="6">
        <f t="shared" si="4"/>
        <v>8</v>
      </c>
      <c r="AC23" s="6">
        <f t="shared" si="5"/>
        <v>189</v>
      </c>
      <c r="AD23" s="6">
        <f t="shared" si="6"/>
        <v>168</v>
      </c>
      <c r="AE23" s="9">
        <f t="shared" si="11"/>
        <v>0</v>
      </c>
      <c r="AF23" s="9">
        <f t="shared" si="11"/>
        <v>0</v>
      </c>
      <c r="AG23" s="9">
        <f t="shared" si="11"/>
        <v>0</v>
      </c>
      <c r="AH23" s="9">
        <f t="shared" si="11"/>
        <v>0</v>
      </c>
      <c r="AI23" s="9">
        <f t="shared" si="11"/>
        <v>0</v>
      </c>
      <c r="AJ23" s="9">
        <f t="shared" si="11"/>
        <v>0</v>
      </c>
      <c r="AK23" s="9">
        <f t="shared" si="11"/>
        <v>0</v>
      </c>
      <c r="AL23" s="9">
        <f t="shared" si="11"/>
        <v>0</v>
      </c>
      <c r="AM23" s="10" t="str">
        <f t="shared" si="7"/>
        <v>93</v>
      </c>
      <c r="AO23" s="2" t="s">
        <v>10</v>
      </c>
      <c r="AT23" s="11">
        <f t="shared" si="8"/>
        <v>22</v>
      </c>
      <c r="AU23" s="12" t="str">
        <f t="shared" si="9"/>
        <v/>
      </c>
    </row>
    <row r="24" spans="1:47" ht="18" customHeight="1">
      <c r="O24" s="2" t="str">
        <f t="shared" si="1"/>
        <v>STAGE 2 メイン・ルーチン</v>
      </c>
      <c r="X24" s="7" t="str">
        <f t="shared" si="2"/>
        <v>BDB0</v>
      </c>
      <c r="Y24" s="13"/>
      <c r="Z24" s="9" t="str">
        <f t="shared" si="3"/>
        <v>:00</v>
      </c>
      <c r="AB24" s="6">
        <f t="shared" si="4"/>
        <v>8</v>
      </c>
      <c r="AC24" s="6">
        <f t="shared" si="5"/>
        <v>189</v>
      </c>
      <c r="AD24" s="6">
        <f t="shared" si="6"/>
        <v>176</v>
      </c>
      <c r="AE24" s="9">
        <f t="shared" si="11"/>
        <v>0</v>
      </c>
      <c r="AF24" s="9">
        <f t="shared" si="11"/>
        <v>0</v>
      </c>
      <c r="AG24" s="9">
        <f t="shared" si="11"/>
        <v>0</v>
      </c>
      <c r="AH24" s="9">
        <f t="shared" si="11"/>
        <v>0</v>
      </c>
      <c r="AI24" s="9">
        <f t="shared" si="11"/>
        <v>0</v>
      </c>
      <c r="AJ24" s="9">
        <f t="shared" si="11"/>
        <v>0</v>
      </c>
      <c r="AK24" s="9">
        <f t="shared" si="11"/>
        <v>0</v>
      </c>
      <c r="AL24" s="9">
        <f t="shared" si="11"/>
        <v>0</v>
      </c>
      <c r="AM24" s="10" t="str">
        <f t="shared" si="7"/>
        <v>8B</v>
      </c>
      <c r="AO24" s="2" t="s">
        <v>10</v>
      </c>
      <c r="AT24" s="11">
        <f t="shared" si="8"/>
        <v>23</v>
      </c>
      <c r="AU24" s="12" t="str">
        <f t="shared" si="9"/>
        <v/>
      </c>
    </row>
    <row r="25" spans="1:47" ht="18" customHeight="1">
      <c r="A25" s="18" t="s">
        <v>29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O25" s="2" t="str">
        <f t="shared" si="1"/>
        <v>STAGE 2 メイン・ルーチン</v>
      </c>
      <c r="X25" s="7" t="str">
        <f t="shared" si="2"/>
        <v>BDB8</v>
      </c>
      <c r="Y25" s="13"/>
      <c r="Z25" s="9" t="str">
        <f t="shared" si="3"/>
        <v>:00</v>
      </c>
      <c r="AB25" s="6">
        <f t="shared" si="4"/>
        <v>8</v>
      </c>
      <c r="AC25" s="6">
        <f t="shared" si="5"/>
        <v>189</v>
      </c>
      <c r="AD25" s="6">
        <f t="shared" si="6"/>
        <v>184</v>
      </c>
      <c r="AE25" s="9">
        <f t="shared" si="11"/>
        <v>0</v>
      </c>
      <c r="AF25" s="9">
        <f t="shared" si="11"/>
        <v>0</v>
      </c>
      <c r="AG25" s="9">
        <f t="shared" si="11"/>
        <v>0</v>
      </c>
      <c r="AH25" s="9">
        <f t="shared" si="11"/>
        <v>0</v>
      </c>
      <c r="AI25" s="9">
        <f t="shared" si="11"/>
        <v>0</v>
      </c>
      <c r="AJ25" s="9">
        <f t="shared" si="11"/>
        <v>0</v>
      </c>
      <c r="AK25" s="9">
        <f t="shared" si="11"/>
        <v>0</v>
      </c>
      <c r="AL25" s="9">
        <f t="shared" si="11"/>
        <v>0</v>
      </c>
      <c r="AM25" s="10" t="str">
        <f t="shared" si="7"/>
        <v>83</v>
      </c>
      <c r="AO25" s="2" t="s">
        <v>10</v>
      </c>
      <c r="AT25" s="11">
        <f t="shared" si="8"/>
        <v>24</v>
      </c>
      <c r="AU25" s="12" t="str">
        <f t="shared" si="9"/>
        <v/>
      </c>
    </row>
    <row r="26" spans="1:47" ht="18" customHeight="1">
      <c r="A26" s="18" t="s">
        <v>34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O26" s="2" t="str">
        <f t="shared" si="1"/>
        <v>STAGE 2 メイン・ルーチン</v>
      </c>
      <c r="X26" s="7" t="str">
        <f t="shared" si="2"/>
        <v>BDC0</v>
      </c>
      <c r="Y26" s="13"/>
      <c r="Z26" s="9" t="str">
        <f t="shared" si="3"/>
        <v>:00</v>
      </c>
      <c r="AB26" s="6">
        <f t="shared" si="4"/>
        <v>8</v>
      </c>
      <c r="AC26" s="6">
        <f t="shared" si="5"/>
        <v>189</v>
      </c>
      <c r="AD26" s="6">
        <f t="shared" si="6"/>
        <v>192</v>
      </c>
      <c r="AE26" s="9">
        <f t="shared" si="11"/>
        <v>0</v>
      </c>
      <c r="AF26" s="9">
        <f t="shared" si="11"/>
        <v>0</v>
      </c>
      <c r="AG26" s="9">
        <f t="shared" si="11"/>
        <v>0</v>
      </c>
      <c r="AH26" s="9">
        <f t="shared" si="11"/>
        <v>0</v>
      </c>
      <c r="AI26" s="9">
        <f t="shared" si="11"/>
        <v>0</v>
      </c>
      <c r="AJ26" s="9">
        <f t="shared" si="11"/>
        <v>0</v>
      </c>
      <c r="AK26" s="9">
        <f t="shared" si="11"/>
        <v>0</v>
      </c>
      <c r="AL26" s="9">
        <f t="shared" si="11"/>
        <v>0</v>
      </c>
      <c r="AM26" s="10" t="str">
        <f t="shared" si="7"/>
        <v>7B</v>
      </c>
      <c r="AO26" s="2" t="s">
        <v>10</v>
      </c>
      <c r="AT26" s="11">
        <f t="shared" si="8"/>
        <v>25</v>
      </c>
      <c r="AU26" s="12" t="str">
        <f t="shared" si="9"/>
        <v/>
      </c>
    </row>
    <row r="27" spans="1:47" ht="18" customHeight="1">
      <c r="A27" s="18" t="s">
        <v>32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O27" s="2" t="str">
        <f t="shared" si="1"/>
        <v>STAGE 2 メイン・ルーチン</v>
      </c>
      <c r="X27" s="7" t="str">
        <f t="shared" si="2"/>
        <v>BDC8</v>
      </c>
      <c r="Y27" s="13"/>
      <c r="Z27" s="9" t="str">
        <f t="shared" si="3"/>
        <v>:00</v>
      </c>
      <c r="AB27" s="6">
        <f t="shared" si="4"/>
        <v>8</v>
      </c>
      <c r="AC27" s="6">
        <f t="shared" si="5"/>
        <v>189</v>
      </c>
      <c r="AD27" s="6">
        <f t="shared" si="6"/>
        <v>200</v>
      </c>
      <c r="AE27" s="9">
        <f t="shared" si="11"/>
        <v>0</v>
      </c>
      <c r="AF27" s="9">
        <f t="shared" si="11"/>
        <v>0</v>
      </c>
      <c r="AG27" s="9">
        <f t="shared" si="11"/>
        <v>0</v>
      </c>
      <c r="AH27" s="9">
        <f t="shared" si="11"/>
        <v>0</v>
      </c>
      <c r="AI27" s="9">
        <f t="shared" si="11"/>
        <v>0</v>
      </c>
      <c r="AJ27" s="9">
        <f t="shared" si="11"/>
        <v>0</v>
      </c>
      <c r="AK27" s="9">
        <f t="shared" si="11"/>
        <v>0</v>
      </c>
      <c r="AL27" s="9">
        <f t="shared" si="11"/>
        <v>0</v>
      </c>
      <c r="AM27" s="10" t="str">
        <f t="shared" si="7"/>
        <v>73</v>
      </c>
      <c r="AO27" s="2" t="s">
        <v>10</v>
      </c>
      <c r="AT27" s="11">
        <f t="shared" si="8"/>
        <v>26</v>
      </c>
      <c r="AU27" s="12" t="str">
        <f t="shared" si="9"/>
        <v/>
      </c>
    </row>
    <row r="28" spans="1:47" ht="18" customHeight="1">
      <c r="A28" s="18" t="s">
        <v>33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O28" s="2" t="str">
        <f t="shared" si="1"/>
        <v>STAGE 2 メイン・ルーチン</v>
      </c>
      <c r="X28" s="7" t="str">
        <f t="shared" si="2"/>
        <v>BDD0</v>
      </c>
      <c r="Y28" s="13"/>
      <c r="Z28" s="9" t="str">
        <f t="shared" si="3"/>
        <v>:00</v>
      </c>
      <c r="AB28" s="6">
        <f t="shared" si="4"/>
        <v>8</v>
      </c>
      <c r="AC28" s="6">
        <f t="shared" si="5"/>
        <v>189</v>
      </c>
      <c r="AD28" s="6">
        <f t="shared" si="6"/>
        <v>208</v>
      </c>
      <c r="AE28" s="9">
        <f t="shared" si="11"/>
        <v>0</v>
      </c>
      <c r="AF28" s="9">
        <f t="shared" si="11"/>
        <v>0</v>
      </c>
      <c r="AG28" s="9">
        <f t="shared" si="11"/>
        <v>0</v>
      </c>
      <c r="AH28" s="9">
        <f t="shared" si="11"/>
        <v>0</v>
      </c>
      <c r="AI28" s="9">
        <f t="shared" si="11"/>
        <v>0</v>
      </c>
      <c r="AJ28" s="9">
        <f t="shared" si="11"/>
        <v>0</v>
      </c>
      <c r="AK28" s="9">
        <f t="shared" si="11"/>
        <v>0</v>
      </c>
      <c r="AL28" s="9">
        <f t="shared" si="11"/>
        <v>0</v>
      </c>
      <c r="AM28" s="10" t="str">
        <f t="shared" si="7"/>
        <v>6B</v>
      </c>
      <c r="AO28" s="2" t="s">
        <v>10</v>
      </c>
      <c r="AT28" s="11">
        <f t="shared" si="8"/>
        <v>27</v>
      </c>
      <c r="AU28" s="12" t="str">
        <f t="shared" si="9"/>
        <v/>
      </c>
    </row>
    <row r="29" spans="1:47" ht="18" customHeight="1">
      <c r="A29" s="18" t="s">
        <v>31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O29" s="2" t="str">
        <f t="shared" si="1"/>
        <v>STAGE 2 メイン・ルーチン</v>
      </c>
      <c r="X29" s="7" t="str">
        <f t="shared" si="2"/>
        <v>BDD8</v>
      </c>
      <c r="Y29" s="13"/>
      <c r="Z29" s="9" t="str">
        <f t="shared" si="3"/>
        <v>:00</v>
      </c>
      <c r="AB29" s="6">
        <f t="shared" si="4"/>
        <v>8</v>
      </c>
      <c r="AC29" s="6">
        <f t="shared" si="5"/>
        <v>189</v>
      </c>
      <c r="AD29" s="6">
        <f t="shared" si="6"/>
        <v>216</v>
      </c>
      <c r="AE29" s="9">
        <f t="shared" si="11"/>
        <v>0</v>
      </c>
      <c r="AF29" s="9">
        <f t="shared" si="11"/>
        <v>0</v>
      </c>
      <c r="AG29" s="9">
        <f t="shared" si="11"/>
        <v>0</v>
      </c>
      <c r="AH29" s="9">
        <f t="shared" si="11"/>
        <v>0</v>
      </c>
      <c r="AI29" s="9">
        <f t="shared" si="11"/>
        <v>0</v>
      </c>
      <c r="AJ29" s="9">
        <f t="shared" si="11"/>
        <v>0</v>
      </c>
      <c r="AK29" s="9">
        <f t="shared" si="11"/>
        <v>0</v>
      </c>
      <c r="AL29" s="9">
        <f t="shared" si="11"/>
        <v>0</v>
      </c>
      <c r="AM29" s="10" t="str">
        <f t="shared" si="7"/>
        <v>63</v>
      </c>
      <c r="AO29" s="2" t="s">
        <v>10</v>
      </c>
      <c r="AT29" s="11">
        <f t="shared" si="8"/>
        <v>28</v>
      </c>
      <c r="AU29" s="12" t="str">
        <f t="shared" si="9"/>
        <v/>
      </c>
    </row>
    <row r="30" spans="1:47" ht="18" customHeight="1">
      <c r="O30" s="2" t="str">
        <f t="shared" si="1"/>
        <v>STAGE 2 メイン・ルーチン</v>
      </c>
      <c r="X30" s="7" t="str">
        <f t="shared" si="2"/>
        <v>BDE0</v>
      </c>
      <c r="Y30" s="13"/>
      <c r="Z30" s="9" t="str">
        <f t="shared" si="3"/>
        <v>:00</v>
      </c>
      <c r="AB30" s="6">
        <f t="shared" si="4"/>
        <v>8</v>
      </c>
      <c r="AC30" s="6">
        <f t="shared" si="5"/>
        <v>189</v>
      </c>
      <c r="AD30" s="6">
        <f t="shared" si="6"/>
        <v>224</v>
      </c>
      <c r="AE30" s="9">
        <f t="shared" si="11"/>
        <v>0</v>
      </c>
      <c r="AF30" s="9">
        <f t="shared" si="11"/>
        <v>0</v>
      </c>
      <c r="AG30" s="9">
        <f t="shared" si="11"/>
        <v>0</v>
      </c>
      <c r="AH30" s="9">
        <f t="shared" si="11"/>
        <v>0</v>
      </c>
      <c r="AI30" s="9">
        <f t="shared" si="11"/>
        <v>0</v>
      </c>
      <c r="AJ30" s="9">
        <f t="shared" si="11"/>
        <v>0</v>
      </c>
      <c r="AK30" s="9">
        <f t="shared" si="11"/>
        <v>0</v>
      </c>
      <c r="AL30" s="9">
        <f t="shared" si="11"/>
        <v>0</v>
      </c>
      <c r="AM30" s="10" t="str">
        <f t="shared" si="7"/>
        <v>5B</v>
      </c>
      <c r="AO30" s="2" t="s">
        <v>10</v>
      </c>
      <c r="AT30" s="11">
        <f t="shared" si="8"/>
        <v>29</v>
      </c>
      <c r="AU30" s="12" t="str">
        <f t="shared" si="9"/>
        <v/>
      </c>
    </row>
    <row r="31" spans="1:47" ht="18" customHeight="1">
      <c r="O31" s="2" t="str">
        <f t="shared" si="1"/>
        <v>STAGE 2 メイン・ルーチン</v>
      </c>
      <c r="X31" s="7" t="str">
        <f t="shared" si="2"/>
        <v>BDE8</v>
      </c>
      <c r="Y31" s="13"/>
      <c r="Z31" s="9" t="str">
        <f t="shared" si="3"/>
        <v>:00</v>
      </c>
      <c r="AB31" s="6">
        <f t="shared" si="4"/>
        <v>8</v>
      </c>
      <c r="AC31" s="6">
        <f t="shared" si="5"/>
        <v>189</v>
      </c>
      <c r="AD31" s="6">
        <f t="shared" si="6"/>
        <v>232</v>
      </c>
      <c r="AE31" s="9">
        <f t="shared" si="11"/>
        <v>0</v>
      </c>
      <c r="AF31" s="9">
        <f t="shared" si="11"/>
        <v>0</v>
      </c>
      <c r="AG31" s="9">
        <f t="shared" si="11"/>
        <v>0</v>
      </c>
      <c r="AH31" s="9">
        <f t="shared" si="11"/>
        <v>0</v>
      </c>
      <c r="AI31" s="9">
        <f t="shared" si="11"/>
        <v>0</v>
      </c>
      <c r="AJ31" s="9">
        <f t="shared" si="11"/>
        <v>0</v>
      </c>
      <c r="AK31" s="9">
        <f t="shared" si="11"/>
        <v>0</v>
      </c>
      <c r="AL31" s="9">
        <f t="shared" si="11"/>
        <v>0</v>
      </c>
      <c r="AM31" s="10" t="str">
        <f t="shared" si="7"/>
        <v>53</v>
      </c>
      <c r="AO31" s="2" t="s">
        <v>10</v>
      </c>
      <c r="AT31" s="11">
        <f t="shared" si="8"/>
        <v>30</v>
      </c>
      <c r="AU31" s="12" t="str">
        <f t="shared" si="9"/>
        <v/>
      </c>
    </row>
    <row r="32" spans="1:47" ht="18" customHeight="1">
      <c r="O32" s="2" t="str">
        <f t="shared" si="1"/>
        <v>STAGE 2 メイン・ルーチン</v>
      </c>
      <c r="X32" s="7" t="str">
        <f t="shared" si="2"/>
        <v>BDF0</v>
      </c>
      <c r="Y32" s="13"/>
      <c r="Z32" s="9" t="str">
        <f t="shared" si="3"/>
        <v>:00</v>
      </c>
      <c r="AB32" s="6">
        <f t="shared" si="4"/>
        <v>8</v>
      </c>
      <c r="AC32" s="6">
        <f t="shared" si="5"/>
        <v>189</v>
      </c>
      <c r="AD32" s="6">
        <f t="shared" si="6"/>
        <v>240</v>
      </c>
      <c r="AE32" s="9">
        <f t="shared" si="11"/>
        <v>0</v>
      </c>
      <c r="AF32" s="9">
        <f t="shared" si="11"/>
        <v>0</v>
      </c>
      <c r="AG32" s="9">
        <f t="shared" si="11"/>
        <v>0</v>
      </c>
      <c r="AH32" s="9">
        <f t="shared" si="11"/>
        <v>0</v>
      </c>
      <c r="AI32" s="9">
        <f t="shared" si="11"/>
        <v>0</v>
      </c>
      <c r="AJ32" s="9">
        <f t="shared" si="11"/>
        <v>0</v>
      </c>
      <c r="AK32" s="9">
        <f t="shared" si="11"/>
        <v>0</v>
      </c>
      <c r="AL32" s="9">
        <f t="shared" si="11"/>
        <v>0</v>
      </c>
      <c r="AM32" s="10" t="str">
        <f t="shared" si="7"/>
        <v>4B</v>
      </c>
      <c r="AO32" s="2" t="s">
        <v>10</v>
      </c>
      <c r="AT32" s="11">
        <f t="shared" si="8"/>
        <v>31</v>
      </c>
      <c r="AU32" s="12" t="str">
        <f t="shared" si="9"/>
        <v/>
      </c>
    </row>
    <row r="33" spans="15:47" ht="18" customHeight="1">
      <c r="O33" s="2" t="str">
        <f t="shared" si="1"/>
        <v>STAGE 2 メイン・ルーチン</v>
      </c>
      <c r="X33" s="7" t="str">
        <f t="shared" si="2"/>
        <v>BDF8</v>
      </c>
      <c r="Y33" s="13"/>
      <c r="Z33" s="9" t="str">
        <f t="shared" si="3"/>
        <v>:00</v>
      </c>
      <c r="AB33" s="6">
        <f t="shared" si="4"/>
        <v>8</v>
      </c>
      <c r="AC33" s="6">
        <f t="shared" si="5"/>
        <v>189</v>
      </c>
      <c r="AD33" s="6">
        <f t="shared" si="6"/>
        <v>248</v>
      </c>
      <c r="AE33" s="9">
        <f t="shared" si="11"/>
        <v>0</v>
      </c>
      <c r="AF33" s="9">
        <f t="shared" si="11"/>
        <v>0</v>
      </c>
      <c r="AG33" s="9">
        <f t="shared" si="11"/>
        <v>0</v>
      </c>
      <c r="AH33" s="9">
        <f t="shared" si="11"/>
        <v>0</v>
      </c>
      <c r="AI33" s="9">
        <f t="shared" si="11"/>
        <v>0</v>
      </c>
      <c r="AJ33" s="9">
        <f t="shared" si="11"/>
        <v>0</v>
      </c>
      <c r="AK33" s="9">
        <f t="shared" si="11"/>
        <v>0</v>
      </c>
      <c r="AL33" s="9">
        <f t="shared" si="11"/>
        <v>0</v>
      </c>
      <c r="AM33" s="10" t="str">
        <f t="shared" si="7"/>
        <v>43</v>
      </c>
      <c r="AO33" s="2" t="s">
        <v>10</v>
      </c>
      <c r="AT33" s="11">
        <f t="shared" si="8"/>
        <v>32</v>
      </c>
      <c r="AU33" s="12" t="str">
        <f t="shared" si="9"/>
        <v/>
      </c>
    </row>
    <row r="34" spans="15:47" ht="18" customHeight="1">
      <c r="O34" s="2" t="str">
        <f t="shared" si="1"/>
        <v>STAGE 2 メイン・ルーチン</v>
      </c>
      <c r="X34" s="7" t="str">
        <f t="shared" si="2"/>
        <v>BE00</v>
      </c>
      <c r="Y34" s="13"/>
      <c r="Z34" s="9" t="str">
        <f t="shared" si="3"/>
        <v>:00</v>
      </c>
      <c r="AB34" s="6">
        <f t="shared" si="4"/>
        <v>8</v>
      </c>
      <c r="AC34" s="6">
        <f t="shared" si="5"/>
        <v>190</v>
      </c>
      <c r="AD34" s="6">
        <f t="shared" si="6"/>
        <v>0</v>
      </c>
      <c r="AE34" s="9">
        <f t="shared" si="11"/>
        <v>0</v>
      </c>
      <c r="AF34" s="9">
        <f t="shared" si="11"/>
        <v>0</v>
      </c>
      <c r="AG34" s="9">
        <f t="shared" si="11"/>
        <v>0</v>
      </c>
      <c r="AH34" s="9">
        <f t="shared" si="11"/>
        <v>0</v>
      </c>
      <c r="AI34" s="9">
        <f t="shared" si="11"/>
        <v>0</v>
      </c>
      <c r="AJ34" s="9">
        <f t="shared" si="11"/>
        <v>0</v>
      </c>
      <c r="AK34" s="9">
        <f t="shared" si="11"/>
        <v>0</v>
      </c>
      <c r="AL34" s="9">
        <f t="shared" si="11"/>
        <v>0</v>
      </c>
      <c r="AM34" s="10" t="str">
        <f t="shared" si="7"/>
        <v>3A</v>
      </c>
      <c r="AO34" s="2" t="s">
        <v>10</v>
      </c>
      <c r="AT34" s="11">
        <f t="shared" si="8"/>
        <v>33</v>
      </c>
      <c r="AU34" s="12" t="str">
        <f t="shared" si="9"/>
        <v/>
      </c>
    </row>
    <row r="35" spans="15:47" ht="18" customHeight="1">
      <c r="O35" s="2" t="str">
        <f t="shared" si="1"/>
        <v>STAGE 2 メイン・ルーチン</v>
      </c>
      <c r="X35" s="7" t="str">
        <f t="shared" si="2"/>
        <v>BE08</v>
      </c>
      <c r="Y35" s="13"/>
      <c r="Z35" s="9" t="str">
        <f t="shared" si="3"/>
        <v>:00</v>
      </c>
      <c r="AB35" s="6">
        <f t="shared" si="4"/>
        <v>8</v>
      </c>
      <c r="AC35" s="6">
        <f t="shared" si="5"/>
        <v>190</v>
      </c>
      <c r="AD35" s="6">
        <f t="shared" si="6"/>
        <v>8</v>
      </c>
      <c r="AE35" s="9">
        <f t="shared" si="11"/>
        <v>0</v>
      </c>
      <c r="AF35" s="9">
        <f t="shared" si="11"/>
        <v>0</v>
      </c>
      <c r="AG35" s="9">
        <f t="shared" si="11"/>
        <v>0</v>
      </c>
      <c r="AH35" s="9">
        <f t="shared" si="11"/>
        <v>0</v>
      </c>
      <c r="AI35" s="9">
        <f t="shared" si="11"/>
        <v>0</v>
      </c>
      <c r="AJ35" s="9">
        <f t="shared" si="11"/>
        <v>0</v>
      </c>
      <c r="AK35" s="9">
        <f t="shared" si="11"/>
        <v>0</v>
      </c>
      <c r="AL35" s="9">
        <f t="shared" si="11"/>
        <v>0</v>
      </c>
      <c r="AM35" s="10" t="str">
        <f t="shared" si="7"/>
        <v>32</v>
      </c>
      <c r="AO35" s="2" t="s">
        <v>10</v>
      </c>
      <c r="AT35" s="11">
        <f t="shared" si="8"/>
        <v>34</v>
      </c>
      <c r="AU35" s="12" t="str">
        <f t="shared" si="9"/>
        <v/>
      </c>
    </row>
    <row r="36" spans="15:47" ht="18" customHeight="1">
      <c r="O36" s="2" t="str">
        <f t="shared" si="1"/>
        <v>STAGE 2 メイン・ルーチン</v>
      </c>
      <c r="X36" s="7" t="str">
        <f t="shared" si="2"/>
        <v>BE10</v>
      </c>
      <c r="Y36" s="13"/>
      <c r="Z36" s="9" t="str">
        <f t="shared" si="3"/>
        <v>:00</v>
      </c>
      <c r="AB36" s="6">
        <f t="shared" si="4"/>
        <v>8</v>
      </c>
      <c r="AC36" s="6">
        <f t="shared" si="5"/>
        <v>190</v>
      </c>
      <c r="AD36" s="6">
        <f t="shared" si="6"/>
        <v>16</v>
      </c>
      <c r="AE36" s="9">
        <f t="shared" si="11"/>
        <v>0</v>
      </c>
      <c r="AF36" s="9">
        <f t="shared" si="11"/>
        <v>0</v>
      </c>
      <c r="AG36" s="9">
        <f t="shared" si="11"/>
        <v>0</v>
      </c>
      <c r="AH36" s="9">
        <f t="shared" si="11"/>
        <v>0</v>
      </c>
      <c r="AI36" s="9">
        <f t="shared" si="11"/>
        <v>0</v>
      </c>
      <c r="AJ36" s="9">
        <f t="shared" si="11"/>
        <v>0</v>
      </c>
      <c r="AK36" s="9">
        <f t="shared" si="11"/>
        <v>0</v>
      </c>
      <c r="AL36" s="9">
        <f t="shared" si="11"/>
        <v>0</v>
      </c>
      <c r="AM36" s="10" t="str">
        <f t="shared" si="7"/>
        <v>2A</v>
      </c>
      <c r="AO36" s="2" t="s">
        <v>10</v>
      </c>
      <c r="AT36" s="11">
        <f t="shared" si="8"/>
        <v>35</v>
      </c>
      <c r="AU36" s="12" t="str">
        <f t="shared" si="9"/>
        <v/>
      </c>
    </row>
    <row r="37" spans="15:47" ht="18" customHeight="1">
      <c r="O37" s="2" t="str">
        <f t="shared" si="1"/>
        <v>STAGE 2 メイン・ルーチン</v>
      </c>
      <c r="X37" s="7" t="str">
        <f t="shared" si="2"/>
        <v>BE18</v>
      </c>
      <c r="Y37" s="13"/>
      <c r="Z37" s="9" t="str">
        <f t="shared" si="3"/>
        <v>:00</v>
      </c>
      <c r="AB37" s="6">
        <f t="shared" si="4"/>
        <v>8</v>
      </c>
      <c r="AC37" s="6">
        <f t="shared" si="5"/>
        <v>190</v>
      </c>
      <c r="AD37" s="6">
        <f t="shared" si="6"/>
        <v>24</v>
      </c>
      <c r="AE37" s="9">
        <f t="shared" si="11"/>
        <v>0</v>
      </c>
      <c r="AF37" s="9">
        <f t="shared" si="11"/>
        <v>0</v>
      </c>
      <c r="AG37" s="9">
        <f t="shared" si="11"/>
        <v>0</v>
      </c>
      <c r="AH37" s="9">
        <f t="shared" si="11"/>
        <v>0</v>
      </c>
      <c r="AI37" s="9">
        <f t="shared" si="11"/>
        <v>0</v>
      </c>
      <c r="AJ37" s="9">
        <f t="shared" si="11"/>
        <v>0</v>
      </c>
      <c r="AK37" s="9">
        <f t="shared" si="11"/>
        <v>0</v>
      </c>
      <c r="AL37" s="9">
        <f t="shared" si="11"/>
        <v>0</v>
      </c>
      <c r="AM37" s="10" t="str">
        <f t="shared" si="7"/>
        <v>22</v>
      </c>
      <c r="AO37" s="2" t="s">
        <v>10</v>
      </c>
      <c r="AT37" s="11">
        <f t="shared" si="8"/>
        <v>36</v>
      </c>
      <c r="AU37" s="12" t="str">
        <f t="shared" si="9"/>
        <v/>
      </c>
    </row>
    <row r="38" spans="15:47" ht="18" customHeight="1">
      <c r="O38" s="2" t="str">
        <f t="shared" si="1"/>
        <v>STAGE 2 メイン・ルーチン</v>
      </c>
      <c r="X38" s="7" t="str">
        <f t="shared" si="2"/>
        <v>BE20</v>
      </c>
      <c r="Y38" s="13"/>
      <c r="Z38" s="9" t="str">
        <f t="shared" si="3"/>
        <v>:00</v>
      </c>
      <c r="AB38" s="6">
        <f t="shared" si="4"/>
        <v>8</v>
      </c>
      <c r="AC38" s="6">
        <f t="shared" si="5"/>
        <v>190</v>
      </c>
      <c r="AD38" s="6">
        <f t="shared" si="6"/>
        <v>32</v>
      </c>
      <c r="AE38" s="9">
        <f t="shared" si="11"/>
        <v>0</v>
      </c>
      <c r="AF38" s="9">
        <f t="shared" si="11"/>
        <v>0</v>
      </c>
      <c r="AG38" s="9">
        <f t="shared" si="11"/>
        <v>0</v>
      </c>
      <c r="AH38" s="9">
        <f t="shared" si="11"/>
        <v>0</v>
      </c>
      <c r="AI38" s="9">
        <f t="shared" si="11"/>
        <v>0</v>
      </c>
      <c r="AJ38" s="9">
        <f t="shared" si="11"/>
        <v>0</v>
      </c>
      <c r="AK38" s="9">
        <f t="shared" si="11"/>
        <v>0</v>
      </c>
      <c r="AL38" s="9">
        <f t="shared" si="11"/>
        <v>0</v>
      </c>
      <c r="AM38" s="10" t="str">
        <f t="shared" si="7"/>
        <v>1A</v>
      </c>
      <c r="AO38" s="2" t="s">
        <v>10</v>
      </c>
      <c r="AT38" s="11">
        <f t="shared" si="8"/>
        <v>37</v>
      </c>
      <c r="AU38" s="12" t="str">
        <f t="shared" si="9"/>
        <v/>
      </c>
    </row>
    <row r="39" spans="15:47" ht="18" customHeight="1">
      <c r="O39" s="2" t="str">
        <f t="shared" si="1"/>
        <v>STAGE 2 メイン・ルーチン</v>
      </c>
      <c r="X39" s="7" t="str">
        <f t="shared" si="2"/>
        <v>BE28</v>
      </c>
      <c r="Y39" s="13"/>
      <c r="Z39" s="9" t="str">
        <f t="shared" si="3"/>
        <v>:00</v>
      </c>
      <c r="AB39" s="6">
        <f t="shared" si="4"/>
        <v>8</v>
      </c>
      <c r="AC39" s="6">
        <f t="shared" si="5"/>
        <v>190</v>
      </c>
      <c r="AD39" s="6">
        <f t="shared" si="6"/>
        <v>40</v>
      </c>
      <c r="AE39" s="9">
        <f t="shared" si="11"/>
        <v>0</v>
      </c>
      <c r="AF39" s="9">
        <f t="shared" si="11"/>
        <v>0</v>
      </c>
      <c r="AG39" s="9">
        <f t="shared" si="11"/>
        <v>0</v>
      </c>
      <c r="AH39" s="9">
        <f t="shared" si="11"/>
        <v>0</v>
      </c>
      <c r="AI39" s="9">
        <f t="shared" si="11"/>
        <v>0</v>
      </c>
      <c r="AJ39" s="9">
        <f t="shared" si="11"/>
        <v>0</v>
      </c>
      <c r="AK39" s="9">
        <f t="shared" si="11"/>
        <v>0</v>
      </c>
      <c r="AL39" s="9">
        <f t="shared" si="11"/>
        <v>0</v>
      </c>
      <c r="AM39" s="10" t="str">
        <f t="shared" si="7"/>
        <v>12</v>
      </c>
      <c r="AO39" s="2" t="s">
        <v>10</v>
      </c>
      <c r="AT39" s="11">
        <f t="shared" si="8"/>
        <v>38</v>
      </c>
      <c r="AU39" s="12" t="str">
        <f t="shared" si="9"/>
        <v/>
      </c>
    </row>
    <row r="40" spans="15:47" ht="18" customHeight="1">
      <c r="O40" s="2" t="str">
        <f t="shared" si="1"/>
        <v>STAGE 2 メイン・ルーチン</v>
      </c>
      <c r="X40" s="7" t="str">
        <f t="shared" si="2"/>
        <v>BE30</v>
      </c>
      <c r="Y40" s="13"/>
      <c r="Z40" s="9" t="str">
        <f t="shared" si="3"/>
        <v>:00</v>
      </c>
      <c r="AB40" s="6">
        <f t="shared" si="4"/>
        <v>8</v>
      </c>
      <c r="AC40" s="6">
        <f t="shared" si="5"/>
        <v>190</v>
      </c>
      <c r="AD40" s="6">
        <f t="shared" si="6"/>
        <v>48</v>
      </c>
      <c r="AE40" s="9">
        <f t="shared" si="11"/>
        <v>0</v>
      </c>
      <c r="AF40" s="9">
        <f t="shared" si="11"/>
        <v>0</v>
      </c>
      <c r="AG40" s="9">
        <f t="shared" si="11"/>
        <v>0</v>
      </c>
      <c r="AH40" s="9">
        <f t="shared" si="11"/>
        <v>0</v>
      </c>
      <c r="AI40" s="9">
        <f t="shared" si="11"/>
        <v>0</v>
      </c>
      <c r="AJ40" s="9">
        <f t="shared" si="11"/>
        <v>0</v>
      </c>
      <c r="AK40" s="9">
        <f t="shared" si="11"/>
        <v>0</v>
      </c>
      <c r="AL40" s="9">
        <f t="shared" si="11"/>
        <v>0</v>
      </c>
      <c r="AM40" s="10" t="str">
        <f t="shared" si="7"/>
        <v>0A</v>
      </c>
      <c r="AO40" s="2" t="s">
        <v>10</v>
      </c>
      <c r="AT40" s="11">
        <f t="shared" si="8"/>
        <v>39</v>
      </c>
      <c r="AU40" s="12" t="str">
        <f t="shared" si="9"/>
        <v/>
      </c>
    </row>
    <row r="41" spans="15:47" ht="18" customHeight="1">
      <c r="O41" s="2" t="str">
        <f t="shared" si="1"/>
        <v>STAGE 2 メイン・ルーチン</v>
      </c>
      <c r="X41" s="7" t="str">
        <f t="shared" si="2"/>
        <v>BE38</v>
      </c>
      <c r="Y41" s="13"/>
      <c r="Z41" s="9" t="str">
        <f t="shared" si="3"/>
        <v>:00</v>
      </c>
      <c r="AB41" s="6">
        <f t="shared" si="4"/>
        <v>8</v>
      </c>
      <c r="AC41" s="6">
        <f t="shared" si="5"/>
        <v>190</v>
      </c>
      <c r="AD41" s="6">
        <f t="shared" si="6"/>
        <v>56</v>
      </c>
      <c r="AE41" s="9">
        <f t="shared" si="11"/>
        <v>0</v>
      </c>
      <c r="AF41" s="9">
        <f t="shared" si="11"/>
        <v>0</v>
      </c>
      <c r="AG41" s="9">
        <f t="shared" si="11"/>
        <v>0</v>
      </c>
      <c r="AH41" s="9">
        <f t="shared" si="11"/>
        <v>0</v>
      </c>
      <c r="AI41" s="9">
        <f t="shared" si="11"/>
        <v>0</v>
      </c>
      <c r="AJ41" s="9">
        <f t="shared" si="11"/>
        <v>0</v>
      </c>
      <c r="AK41" s="9">
        <f t="shared" si="11"/>
        <v>0</v>
      </c>
      <c r="AL41" s="9">
        <f t="shared" si="11"/>
        <v>0</v>
      </c>
      <c r="AM41" s="10" t="str">
        <f t="shared" si="7"/>
        <v>02</v>
      </c>
      <c r="AO41" s="2" t="s">
        <v>10</v>
      </c>
      <c r="AT41" s="11">
        <f t="shared" si="8"/>
        <v>40</v>
      </c>
      <c r="AU41" s="12" t="str">
        <f t="shared" si="9"/>
        <v/>
      </c>
    </row>
    <row r="42" spans="15:47" ht="18" customHeight="1">
      <c r="O42" s="2" t="str">
        <f t="shared" si="1"/>
        <v>STAGE 2 メイン・ルーチン</v>
      </c>
      <c r="X42" s="7" t="str">
        <f t="shared" si="2"/>
        <v>BE40</v>
      </c>
      <c r="Y42" s="13"/>
      <c r="Z42" s="9" t="str">
        <f t="shared" si="3"/>
        <v>:00</v>
      </c>
      <c r="AB42" s="6">
        <f t="shared" si="4"/>
        <v>8</v>
      </c>
      <c r="AC42" s="6">
        <f t="shared" si="5"/>
        <v>190</v>
      </c>
      <c r="AD42" s="6">
        <f t="shared" si="6"/>
        <v>64</v>
      </c>
      <c r="AE42" s="9">
        <f t="shared" si="11"/>
        <v>0</v>
      </c>
      <c r="AF42" s="9">
        <f t="shared" si="11"/>
        <v>0</v>
      </c>
      <c r="AG42" s="9">
        <f t="shared" si="11"/>
        <v>0</v>
      </c>
      <c r="AH42" s="9">
        <f t="shared" si="11"/>
        <v>0</v>
      </c>
      <c r="AI42" s="9">
        <f t="shared" si="11"/>
        <v>0</v>
      </c>
      <c r="AJ42" s="9">
        <f t="shared" si="11"/>
        <v>0</v>
      </c>
      <c r="AK42" s="9">
        <f t="shared" si="11"/>
        <v>0</v>
      </c>
      <c r="AL42" s="9">
        <f t="shared" si="11"/>
        <v>0</v>
      </c>
      <c r="AM42" s="10" t="str">
        <f t="shared" si="7"/>
        <v>FA</v>
      </c>
      <c r="AO42" s="2" t="s">
        <v>10</v>
      </c>
      <c r="AT42" s="11">
        <f t="shared" si="8"/>
        <v>41</v>
      </c>
      <c r="AU42" s="12" t="str">
        <f t="shared" si="9"/>
        <v/>
      </c>
    </row>
    <row r="43" spans="15:47" ht="18" customHeight="1">
      <c r="O43" s="2" t="str">
        <f t="shared" si="1"/>
        <v>STAGE 2 メイン・ルーチン</v>
      </c>
      <c r="X43" s="7" t="str">
        <f t="shared" si="2"/>
        <v>BE48</v>
      </c>
      <c r="Y43" s="13"/>
      <c r="Z43" s="9" t="str">
        <f t="shared" si="3"/>
        <v>:00</v>
      </c>
      <c r="AB43" s="6">
        <f t="shared" si="4"/>
        <v>8</v>
      </c>
      <c r="AC43" s="6">
        <f t="shared" si="5"/>
        <v>190</v>
      </c>
      <c r="AD43" s="6">
        <f t="shared" si="6"/>
        <v>72</v>
      </c>
      <c r="AE43" s="9">
        <f t="shared" si="11"/>
        <v>0</v>
      </c>
      <c r="AF43" s="9">
        <f t="shared" si="11"/>
        <v>0</v>
      </c>
      <c r="AG43" s="9">
        <f t="shared" si="11"/>
        <v>0</v>
      </c>
      <c r="AH43" s="9">
        <f t="shared" si="11"/>
        <v>0</v>
      </c>
      <c r="AI43" s="9">
        <f t="shared" si="11"/>
        <v>0</v>
      </c>
      <c r="AJ43" s="9">
        <f t="shared" si="11"/>
        <v>0</v>
      </c>
      <c r="AK43" s="9">
        <f t="shared" si="11"/>
        <v>0</v>
      </c>
      <c r="AL43" s="9">
        <f t="shared" si="11"/>
        <v>0</v>
      </c>
      <c r="AM43" s="10" t="str">
        <f t="shared" si="7"/>
        <v>F2</v>
      </c>
      <c r="AO43" s="2" t="s">
        <v>10</v>
      </c>
      <c r="AT43" s="11">
        <f t="shared" si="8"/>
        <v>42</v>
      </c>
      <c r="AU43" s="12" t="str">
        <f t="shared" si="9"/>
        <v/>
      </c>
    </row>
    <row r="44" spans="15:47" ht="18" customHeight="1">
      <c r="O44" s="2" t="str">
        <f t="shared" si="1"/>
        <v>STAGE 2 メイン・ルーチン</v>
      </c>
      <c r="X44" s="7" t="str">
        <f t="shared" si="2"/>
        <v>BE50</v>
      </c>
      <c r="Y44" s="13"/>
      <c r="Z44" s="9" t="str">
        <f t="shared" si="3"/>
        <v>:00</v>
      </c>
      <c r="AB44" s="6">
        <f t="shared" si="4"/>
        <v>8</v>
      </c>
      <c r="AC44" s="6">
        <f t="shared" si="5"/>
        <v>190</v>
      </c>
      <c r="AD44" s="6">
        <f t="shared" si="6"/>
        <v>80</v>
      </c>
      <c r="AE44" s="9">
        <f t="shared" si="11"/>
        <v>0</v>
      </c>
      <c r="AF44" s="9">
        <f t="shared" si="11"/>
        <v>0</v>
      </c>
      <c r="AG44" s="9">
        <f t="shared" si="11"/>
        <v>0</v>
      </c>
      <c r="AH44" s="9">
        <f t="shared" si="11"/>
        <v>0</v>
      </c>
      <c r="AI44" s="9">
        <f t="shared" si="11"/>
        <v>0</v>
      </c>
      <c r="AJ44" s="9">
        <f t="shared" si="11"/>
        <v>0</v>
      </c>
      <c r="AK44" s="9">
        <f t="shared" si="11"/>
        <v>0</v>
      </c>
      <c r="AL44" s="9">
        <f t="shared" si="11"/>
        <v>0</v>
      </c>
      <c r="AM44" s="10" t="str">
        <f t="shared" si="7"/>
        <v>EA</v>
      </c>
      <c r="AO44" s="2" t="s">
        <v>10</v>
      </c>
      <c r="AT44" s="11">
        <f t="shared" si="8"/>
        <v>43</v>
      </c>
      <c r="AU44" s="12" t="str">
        <f t="shared" si="9"/>
        <v/>
      </c>
    </row>
    <row r="45" spans="15:47" ht="18" customHeight="1">
      <c r="O45" s="2" t="str">
        <f t="shared" si="1"/>
        <v>STAGE 2 メイン・ルーチン</v>
      </c>
      <c r="X45" s="7" t="str">
        <f t="shared" si="2"/>
        <v>BE58</v>
      </c>
      <c r="Y45" s="13"/>
      <c r="Z45" s="9" t="str">
        <f t="shared" si="3"/>
        <v>:00</v>
      </c>
      <c r="AB45" s="6">
        <f t="shared" si="4"/>
        <v>8</v>
      </c>
      <c r="AC45" s="6">
        <f t="shared" si="5"/>
        <v>190</v>
      </c>
      <c r="AD45" s="6">
        <f t="shared" si="6"/>
        <v>88</v>
      </c>
      <c r="AE45" s="9">
        <f t="shared" si="11"/>
        <v>0</v>
      </c>
      <c r="AF45" s="9">
        <f t="shared" si="11"/>
        <v>0</v>
      </c>
      <c r="AG45" s="9">
        <f t="shared" si="11"/>
        <v>0</v>
      </c>
      <c r="AH45" s="9">
        <f t="shared" si="11"/>
        <v>0</v>
      </c>
      <c r="AI45" s="9">
        <f t="shared" si="11"/>
        <v>0</v>
      </c>
      <c r="AJ45" s="9">
        <f t="shared" si="11"/>
        <v>0</v>
      </c>
      <c r="AK45" s="9">
        <f t="shared" si="11"/>
        <v>0</v>
      </c>
      <c r="AL45" s="9">
        <f t="shared" si="11"/>
        <v>0</v>
      </c>
      <c r="AM45" s="10" t="str">
        <f t="shared" si="7"/>
        <v>E2</v>
      </c>
      <c r="AO45" s="2" t="s">
        <v>10</v>
      </c>
      <c r="AT45" s="11">
        <f t="shared" si="8"/>
        <v>44</v>
      </c>
      <c r="AU45" s="12" t="str">
        <f t="shared" si="9"/>
        <v/>
      </c>
    </row>
    <row r="46" spans="15:47" ht="18" customHeight="1">
      <c r="O46" s="2" t="str">
        <f t="shared" si="1"/>
        <v>STAGE 2 メイン・ルーチン</v>
      </c>
      <c r="X46" s="7" t="str">
        <f t="shared" si="2"/>
        <v>BE60</v>
      </c>
      <c r="Y46" s="13"/>
      <c r="Z46" s="9" t="str">
        <f t="shared" si="3"/>
        <v>:00</v>
      </c>
      <c r="AB46" s="6">
        <f t="shared" si="4"/>
        <v>8</v>
      </c>
      <c r="AC46" s="6">
        <f t="shared" si="5"/>
        <v>190</v>
      </c>
      <c r="AD46" s="6">
        <f t="shared" si="6"/>
        <v>96</v>
      </c>
      <c r="AE46" s="9">
        <f t="shared" si="11"/>
        <v>0</v>
      </c>
      <c r="AF46" s="9">
        <f t="shared" si="11"/>
        <v>0</v>
      </c>
      <c r="AG46" s="9">
        <f t="shared" si="11"/>
        <v>0</v>
      </c>
      <c r="AH46" s="9">
        <f t="shared" si="11"/>
        <v>0</v>
      </c>
      <c r="AI46" s="9">
        <f t="shared" si="11"/>
        <v>0</v>
      </c>
      <c r="AJ46" s="9">
        <f t="shared" si="11"/>
        <v>0</v>
      </c>
      <c r="AK46" s="9">
        <f t="shared" si="11"/>
        <v>0</v>
      </c>
      <c r="AL46" s="9">
        <f t="shared" si="11"/>
        <v>0</v>
      </c>
      <c r="AM46" s="10" t="str">
        <f t="shared" si="7"/>
        <v>DA</v>
      </c>
      <c r="AO46" s="2" t="s">
        <v>10</v>
      </c>
      <c r="AT46" s="11">
        <f t="shared" si="8"/>
        <v>45</v>
      </c>
      <c r="AU46" s="12" t="str">
        <f t="shared" si="9"/>
        <v/>
      </c>
    </row>
    <row r="47" spans="15:47" ht="18" customHeight="1">
      <c r="O47" s="2" t="str">
        <f t="shared" si="1"/>
        <v>STAGE 2 メイン・ルーチン</v>
      </c>
      <c r="X47" s="7" t="str">
        <f t="shared" si="2"/>
        <v>BE68</v>
      </c>
      <c r="Y47" s="13"/>
      <c r="Z47" s="9" t="str">
        <f t="shared" si="3"/>
        <v>:00</v>
      </c>
      <c r="AB47" s="6">
        <f t="shared" si="4"/>
        <v>8</v>
      </c>
      <c r="AC47" s="6">
        <f t="shared" si="5"/>
        <v>190</v>
      </c>
      <c r="AD47" s="6">
        <f t="shared" si="6"/>
        <v>104</v>
      </c>
      <c r="AE47" s="9">
        <f t="shared" si="11"/>
        <v>0</v>
      </c>
      <c r="AF47" s="9">
        <f t="shared" si="11"/>
        <v>0</v>
      </c>
      <c r="AG47" s="9">
        <f t="shared" si="11"/>
        <v>0</v>
      </c>
      <c r="AH47" s="9">
        <f t="shared" si="11"/>
        <v>0</v>
      </c>
      <c r="AI47" s="9">
        <f t="shared" si="11"/>
        <v>0</v>
      </c>
      <c r="AJ47" s="9">
        <f t="shared" si="11"/>
        <v>0</v>
      </c>
      <c r="AK47" s="9">
        <f t="shared" si="11"/>
        <v>0</v>
      </c>
      <c r="AL47" s="9">
        <f t="shared" si="11"/>
        <v>0</v>
      </c>
      <c r="AM47" s="10" t="str">
        <f t="shared" si="7"/>
        <v>D2</v>
      </c>
      <c r="AO47" s="2" t="s">
        <v>10</v>
      </c>
      <c r="AT47" s="11">
        <f t="shared" si="8"/>
        <v>46</v>
      </c>
      <c r="AU47" s="12" t="str">
        <f t="shared" si="9"/>
        <v/>
      </c>
    </row>
    <row r="48" spans="15:47" ht="18" customHeight="1">
      <c r="O48" s="2" t="str">
        <f t="shared" si="1"/>
        <v>STAGE 2 メイン・ルーチン</v>
      </c>
      <c r="X48" s="7" t="str">
        <f t="shared" si="2"/>
        <v>BE70</v>
      </c>
      <c r="Y48" s="13"/>
      <c r="Z48" s="9" t="str">
        <f t="shared" si="3"/>
        <v>:00</v>
      </c>
      <c r="AB48" s="6">
        <f t="shared" si="4"/>
        <v>8</v>
      </c>
      <c r="AC48" s="6">
        <f t="shared" si="5"/>
        <v>190</v>
      </c>
      <c r="AD48" s="6">
        <f t="shared" si="6"/>
        <v>112</v>
      </c>
      <c r="AE48" s="9">
        <f t="shared" si="11"/>
        <v>0</v>
      </c>
      <c r="AF48" s="9">
        <f t="shared" si="11"/>
        <v>0</v>
      </c>
      <c r="AG48" s="9">
        <f t="shared" si="11"/>
        <v>0</v>
      </c>
      <c r="AH48" s="9">
        <f t="shared" si="11"/>
        <v>0</v>
      </c>
      <c r="AI48" s="9">
        <f t="shared" si="11"/>
        <v>0</v>
      </c>
      <c r="AJ48" s="9">
        <f t="shared" si="11"/>
        <v>0</v>
      </c>
      <c r="AK48" s="9">
        <f t="shared" si="11"/>
        <v>0</v>
      </c>
      <c r="AL48" s="9">
        <f t="shared" si="11"/>
        <v>0</v>
      </c>
      <c r="AM48" s="10" t="str">
        <f t="shared" si="7"/>
        <v>CA</v>
      </c>
      <c r="AO48" s="2" t="s">
        <v>10</v>
      </c>
      <c r="AT48" s="11">
        <f t="shared" si="8"/>
        <v>47</v>
      </c>
      <c r="AU48" s="12" t="str">
        <f t="shared" si="9"/>
        <v/>
      </c>
    </row>
    <row r="49" spans="15:47" ht="18" customHeight="1">
      <c r="O49" s="2" t="str">
        <f t="shared" si="1"/>
        <v>STAGE 2 メイン・ルーチン</v>
      </c>
      <c r="X49" s="7" t="str">
        <f t="shared" si="2"/>
        <v>BE78</v>
      </c>
      <c r="Y49" s="13"/>
      <c r="Z49" s="9" t="str">
        <f t="shared" si="3"/>
        <v>:00</v>
      </c>
      <c r="AB49" s="6">
        <f t="shared" si="4"/>
        <v>8</v>
      </c>
      <c r="AC49" s="6">
        <f t="shared" si="5"/>
        <v>190</v>
      </c>
      <c r="AD49" s="6">
        <f t="shared" si="6"/>
        <v>120</v>
      </c>
      <c r="AE49" s="9">
        <f t="shared" si="11"/>
        <v>0</v>
      </c>
      <c r="AF49" s="9">
        <f t="shared" si="11"/>
        <v>0</v>
      </c>
      <c r="AG49" s="9">
        <f t="shared" si="11"/>
        <v>0</v>
      </c>
      <c r="AH49" s="9">
        <f t="shared" si="11"/>
        <v>0</v>
      </c>
      <c r="AI49" s="9">
        <f t="shared" si="11"/>
        <v>0</v>
      </c>
      <c r="AJ49" s="9">
        <f t="shared" si="11"/>
        <v>0</v>
      </c>
      <c r="AK49" s="9">
        <f t="shared" si="11"/>
        <v>0</v>
      </c>
      <c r="AL49" s="9">
        <f t="shared" ref="AL49:AL97" si="12">HEX2DEC(MID($Y49,(COLUMN(AL49) - COLUMN($AE49)) * 2 + 1,2))</f>
        <v>0</v>
      </c>
      <c r="AM49" s="10" t="str">
        <f t="shared" si="7"/>
        <v>C2</v>
      </c>
      <c r="AO49" s="2" t="s">
        <v>10</v>
      </c>
      <c r="AT49" s="11">
        <f t="shared" si="8"/>
        <v>48</v>
      </c>
      <c r="AU49" s="12" t="str">
        <f t="shared" si="9"/>
        <v/>
      </c>
    </row>
    <row r="50" spans="15:47" ht="18" customHeight="1">
      <c r="O50" s="2" t="str">
        <f t="shared" si="1"/>
        <v>STAGE 2 メイン・ルーチン</v>
      </c>
      <c r="X50" s="7" t="str">
        <f t="shared" si="2"/>
        <v>BE80</v>
      </c>
      <c r="Y50" s="13"/>
      <c r="Z50" s="9" t="str">
        <f t="shared" si="3"/>
        <v>:00</v>
      </c>
      <c r="AB50" s="6">
        <f t="shared" si="4"/>
        <v>8</v>
      </c>
      <c r="AC50" s="6">
        <f t="shared" si="5"/>
        <v>190</v>
      </c>
      <c r="AD50" s="6">
        <f t="shared" si="6"/>
        <v>128</v>
      </c>
      <c r="AE50" s="9">
        <f t="shared" ref="AE50:AK86" si="13">HEX2DEC(MID($Y50,(COLUMN(AE50) - COLUMN($AE50)) * 2 + 1,2))</f>
        <v>0</v>
      </c>
      <c r="AF50" s="9">
        <f t="shared" si="13"/>
        <v>0</v>
      </c>
      <c r="AG50" s="9">
        <f t="shared" si="13"/>
        <v>0</v>
      </c>
      <c r="AH50" s="9">
        <f t="shared" si="13"/>
        <v>0</v>
      </c>
      <c r="AI50" s="9">
        <f t="shared" si="13"/>
        <v>0</v>
      </c>
      <c r="AJ50" s="9">
        <f t="shared" si="13"/>
        <v>0</v>
      </c>
      <c r="AK50" s="9">
        <f t="shared" si="13"/>
        <v>0</v>
      </c>
      <c r="AL50" s="9">
        <f t="shared" si="12"/>
        <v>0</v>
      </c>
      <c r="AM50" s="10" t="str">
        <f t="shared" si="7"/>
        <v>BA</v>
      </c>
      <c r="AO50" s="2" t="s">
        <v>10</v>
      </c>
      <c r="AT50" s="11">
        <f t="shared" si="8"/>
        <v>49</v>
      </c>
      <c r="AU50" s="12" t="str">
        <f t="shared" si="9"/>
        <v/>
      </c>
    </row>
    <row r="51" spans="15:47" ht="18" customHeight="1">
      <c r="O51" s="2" t="str">
        <f t="shared" si="1"/>
        <v>STAGE 2 メイン・ルーチン</v>
      </c>
      <c r="X51" s="7" t="str">
        <f t="shared" si="2"/>
        <v>BE88</v>
      </c>
      <c r="Y51" s="13"/>
      <c r="Z51" s="9" t="str">
        <f t="shared" si="3"/>
        <v>:00</v>
      </c>
      <c r="AB51" s="6">
        <f t="shared" si="4"/>
        <v>8</v>
      </c>
      <c r="AC51" s="6">
        <f t="shared" si="5"/>
        <v>190</v>
      </c>
      <c r="AD51" s="6">
        <f t="shared" si="6"/>
        <v>136</v>
      </c>
      <c r="AE51" s="9">
        <f t="shared" si="13"/>
        <v>0</v>
      </c>
      <c r="AF51" s="9">
        <f t="shared" si="13"/>
        <v>0</v>
      </c>
      <c r="AG51" s="9">
        <f t="shared" si="13"/>
        <v>0</v>
      </c>
      <c r="AH51" s="9">
        <f t="shared" si="13"/>
        <v>0</v>
      </c>
      <c r="AI51" s="9">
        <f t="shared" si="13"/>
        <v>0</v>
      </c>
      <c r="AJ51" s="9">
        <f t="shared" si="13"/>
        <v>0</v>
      </c>
      <c r="AK51" s="9">
        <f t="shared" si="13"/>
        <v>0</v>
      </c>
      <c r="AL51" s="9">
        <f t="shared" si="12"/>
        <v>0</v>
      </c>
      <c r="AM51" s="10" t="str">
        <f t="shared" si="7"/>
        <v>B2</v>
      </c>
      <c r="AO51" s="2" t="s">
        <v>10</v>
      </c>
      <c r="AT51" s="11">
        <f t="shared" si="8"/>
        <v>50</v>
      </c>
      <c r="AU51" s="12" t="str">
        <f t="shared" si="9"/>
        <v/>
      </c>
    </row>
    <row r="52" spans="15:47" ht="18" customHeight="1">
      <c r="O52" s="2" t="str">
        <f t="shared" si="1"/>
        <v>STAGE 2 メイン・ルーチン</v>
      </c>
      <c r="X52" s="7" t="str">
        <f t="shared" si="2"/>
        <v>BE90</v>
      </c>
      <c r="Y52" s="13"/>
      <c r="Z52" s="9" t="str">
        <f t="shared" si="3"/>
        <v>:00</v>
      </c>
      <c r="AB52" s="6">
        <f t="shared" si="4"/>
        <v>8</v>
      </c>
      <c r="AC52" s="6">
        <f t="shared" si="5"/>
        <v>190</v>
      </c>
      <c r="AD52" s="6">
        <f t="shared" si="6"/>
        <v>144</v>
      </c>
      <c r="AE52" s="9">
        <f t="shared" si="13"/>
        <v>0</v>
      </c>
      <c r="AF52" s="9">
        <f t="shared" si="13"/>
        <v>0</v>
      </c>
      <c r="AG52" s="9">
        <f t="shared" si="13"/>
        <v>0</v>
      </c>
      <c r="AH52" s="9">
        <f t="shared" si="13"/>
        <v>0</v>
      </c>
      <c r="AI52" s="9">
        <f t="shared" si="13"/>
        <v>0</v>
      </c>
      <c r="AJ52" s="9">
        <f t="shared" si="13"/>
        <v>0</v>
      </c>
      <c r="AK52" s="9">
        <f t="shared" si="13"/>
        <v>0</v>
      </c>
      <c r="AL52" s="9">
        <f t="shared" si="12"/>
        <v>0</v>
      </c>
      <c r="AM52" s="10" t="str">
        <f t="shared" si="7"/>
        <v>AA</v>
      </c>
      <c r="AO52" s="2" t="s">
        <v>10</v>
      </c>
      <c r="AT52" s="11">
        <f t="shared" si="8"/>
        <v>51</v>
      </c>
      <c r="AU52" s="12" t="str">
        <f t="shared" si="9"/>
        <v/>
      </c>
    </row>
    <row r="53" spans="15:47" ht="18" customHeight="1">
      <c r="O53" s="2" t="str">
        <f t="shared" si="1"/>
        <v>STAGE 2 メイン・ルーチン</v>
      </c>
      <c r="X53" s="7" t="str">
        <f t="shared" si="2"/>
        <v>BE98</v>
      </c>
      <c r="Y53" s="13"/>
      <c r="Z53" s="9" t="str">
        <f t="shared" si="3"/>
        <v>:00</v>
      </c>
      <c r="AB53" s="6">
        <f t="shared" si="4"/>
        <v>8</v>
      </c>
      <c r="AC53" s="6">
        <f t="shared" si="5"/>
        <v>190</v>
      </c>
      <c r="AD53" s="6">
        <f t="shared" si="6"/>
        <v>152</v>
      </c>
      <c r="AE53" s="9">
        <f t="shared" si="13"/>
        <v>0</v>
      </c>
      <c r="AF53" s="9">
        <f t="shared" si="13"/>
        <v>0</v>
      </c>
      <c r="AG53" s="9">
        <f t="shared" si="13"/>
        <v>0</v>
      </c>
      <c r="AH53" s="9">
        <f t="shared" si="13"/>
        <v>0</v>
      </c>
      <c r="AI53" s="9">
        <f t="shared" si="13"/>
        <v>0</v>
      </c>
      <c r="AJ53" s="9">
        <f t="shared" si="13"/>
        <v>0</v>
      </c>
      <c r="AK53" s="9">
        <f t="shared" si="13"/>
        <v>0</v>
      </c>
      <c r="AL53" s="9">
        <f t="shared" si="12"/>
        <v>0</v>
      </c>
      <c r="AM53" s="10" t="str">
        <f t="shared" si="7"/>
        <v>A2</v>
      </c>
      <c r="AO53" s="2" t="s">
        <v>10</v>
      </c>
      <c r="AT53" s="11">
        <f t="shared" si="8"/>
        <v>52</v>
      </c>
      <c r="AU53" s="12" t="str">
        <f t="shared" si="9"/>
        <v/>
      </c>
    </row>
    <row r="54" spans="15:47" ht="18" customHeight="1">
      <c r="O54" s="2" t="str">
        <f t="shared" si="1"/>
        <v>STAGE 2 メイン・ルーチン</v>
      </c>
      <c r="X54" s="7" t="str">
        <f t="shared" si="2"/>
        <v>BEA0</v>
      </c>
      <c r="Y54" s="13"/>
      <c r="Z54" s="9" t="str">
        <f t="shared" si="3"/>
        <v>:00</v>
      </c>
      <c r="AB54" s="6">
        <f t="shared" si="4"/>
        <v>8</v>
      </c>
      <c r="AC54" s="6">
        <f t="shared" si="5"/>
        <v>190</v>
      </c>
      <c r="AD54" s="6">
        <f t="shared" si="6"/>
        <v>160</v>
      </c>
      <c r="AE54" s="9">
        <f t="shared" si="13"/>
        <v>0</v>
      </c>
      <c r="AF54" s="9">
        <f t="shared" si="13"/>
        <v>0</v>
      </c>
      <c r="AG54" s="9">
        <f t="shared" si="13"/>
        <v>0</v>
      </c>
      <c r="AH54" s="9">
        <f t="shared" si="13"/>
        <v>0</v>
      </c>
      <c r="AI54" s="9">
        <f t="shared" si="13"/>
        <v>0</v>
      </c>
      <c r="AJ54" s="9">
        <f t="shared" si="13"/>
        <v>0</v>
      </c>
      <c r="AK54" s="9">
        <f t="shared" si="13"/>
        <v>0</v>
      </c>
      <c r="AL54" s="9">
        <f t="shared" si="12"/>
        <v>0</v>
      </c>
      <c r="AM54" s="10" t="str">
        <f t="shared" si="7"/>
        <v>9A</v>
      </c>
      <c r="AO54" s="2" t="s">
        <v>10</v>
      </c>
      <c r="AT54" s="11">
        <f t="shared" si="8"/>
        <v>53</v>
      </c>
      <c r="AU54" s="12" t="str">
        <f t="shared" si="9"/>
        <v/>
      </c>
    </row>
    <row r="55" spans="15:47" ht="18" customHeight="1">
      <c r="O55" s="2" t="str">
        <f t="shared" si="1"/>
        <v>STAGE 2 メイン・ルーチン</v>
      </c>
      <c r="X55" s="7" t="str">
        <f t="shared" si="2"/>
        <v>BEA8</v>
      </c>
      <c r="Y55" s="13"/>
      <c r="Z55" s="9" t="str">
        <f t="shared" si="3"/>
        <v>:00</v>
      </c>
      <c r="AB55" s="6">
        <f t="shared" si="4"/>
        <v>8</v>
      </c>
      <c r="AC55" s="6">
        <f t="shared" si="5"/>
        <v>190</v>
      </c>
      <c r="AD55" s="6">
        <f t="shared" si="6"/>
        <v>168</v>
      </c>
      <c r="AE55" s="9">
        <f t="shared" si="13"/>
        <v>0</v>
      </c>
      <c r="AF55" s="9">
        <f t="shared" si="13"/>
        <v>0</v>
      </c>
      <c r="AG55" s="9">
        <f t="shared" si="13"/>
        <v>0</v>
      </c>
      <c r="AH55" s="9">
        <f t="shared" si="13"/>
        <v>0</v>
      </c>
      <c r="AI55" s="9">
        <f t="shared" si="13"/>
        <v>0</v>
      </c>
      <c r="AJ55" s="9">
        <f t="shared" si="13"/>
        <v>0</v>
      </c>
      <c r="AK55" s="9">
        <f t="shared" si="13"/>
        <v>0</v>
      </c>
      <c r="AL55" s="9">
        <f t="shared" si="12"/>
        <v>0</v>
      </c>
      <c r="AM55" s="10" t="str">
        <f t="shared" si="7"/>
        <v>92</v>
      </c>
      <c r="AO55" s="2" t="s">
        <v>10</v>
      </c>
      <c r="AT55" s="11">
        <f t="shared" si="8"/>
        <v>54</v>
      </c>
      <c r="AU55" s="12" t="str">
        <f t="shared" si="9"/>
        <v/>
      </c>
    </row>
    <row r="56" spans="15:47" ht="18" customHeight="1">
      <c r="O56" s="2" t="str">
        <f t="shared" si="1"/>
        <v>STAGE 2 メイン・ルーチン</v>
      </c>
      <c r="X56" s="7" t="str">
        <f t="shared" si="2"/>
        <v>BEB0</v>
      </c>
      <c r="Y56" s="13"/>
      <c r="Z56" s="9" t="str">
        <f t="shared" si="3"/>
        <v>:00</v>
      </c>
      <c r="AB56" s="6">
        <f t="shared" si="4"/>
        <v>8</v>
      </c>
      <c r="AC56" s="6">
        <f t="shared" si="5"/>
        <v>190</v>
      </c>
      <c r="AD56" s="6">
        <f t="shared" si="6"/>
        <v>176</v>
      </c>
      <c r="AE56" s="9">
        <f t="shared" si="13"/>
        <v>0</v>
      </c>
      <c r="AF56" s="9">
        <f t="shared" si="13"/>
        <v>0</v>
      </c>
      <c r="AG56" s="9">
        <f t="shared" si="13"/>
        <v>0</v>
      </c>
      <c r="AH56" s="9">
        <f t="shared" si="13"/>
        <v>0</v>
      </c>
      <c r="AI56" s="9">
        <f t="shared" si="13"/>
        <v>0</v>
      </c>
      <c r="AJ56" s="9">
        <f t="shared" si="13"/>
        <v>0</v>
      </c>
      <c r="AK56" s="9">
        <f t="shared" si="13"/>
        <v>0</v>
      </c>
      <c r="AL56" s="9">
        <f t="shared" si="12"/>
        <v>0</v>
      </c>
      <c r="AM56" s="10" t="str">
        <f t="shared" si="7"/>
        <v>8A</v>
      </c>
      <c r="AO56" s="2" t="s">
        <v>10</v>
      </c>
      <c r="AT56" s="11">
        <f t="shared" si="8"/>
        <v>55</v>
      </c>
      <c r="AU56" s="12" t="str">
        <f t="shared" si="9"/>
        <v/>
      </c>
    </row>
    <row r="57" spans="15:47" ht="18" customHeight="1">
      <c r="O57" s="2" t="str">
        <f t="shared" si="1"/>
        <v>STAGE 2 メイン・ルーチン</v>
      </c>
      <c r="X57" s="7" t="str">
        <f t="shared" si="2"/>
        <v>BEB8</v>
      </c>
      <c r="Y57" s="13"/>
      <c r="Z57" s="9" t="str">
        <f t="shared" si="3"/>
        <v>:00</v>
      </c>
      <c r="AB57" s="6">
        <f t="shared" si="4"/>
        <v>8</v>
      </c>
      <c r="AC57" s="6">
        <f t="shared" si="5"/>
        <v>190</v>
      </c>
      <c r="AD57" s="6">
        <f t="shared" si="6"/>
        <v>184</v>
      </c>
      <c r="AE57" s="9">
        <f t="shared" si="13"/>
        <v>0</v>
      </c>
      <c r="AF57" s="9">
        <f t="shared" si="13"/>
        <v>0</v>
      </c>
      <c r="AG57" s="9">
        <f t="shared" si="13"/>
        <v>0</v>
      </c>
      <c r="AH57" s="9">
        <f t="shared" si="13"/>
        <v>0</v>
      </c>
      <c r="AI57" s="9">
        <f t="shared" si="13"/>
        <v>0</v>
      </c>
      <c r="AJ57" s="9">
        <f t="shared" si="13"/>
        <v>0</v>
      </c>
      <c r="AK57" s="9">
        <f t="shared" si="13"/>
        <v>0</v>
      </c>
      <c r="AL57" s="9">
        <f t="shared" si="12"/>
        <v>0</v>
      </c>
      <c r="AM57" s="10" t="str">
        <f t="shared" si="7"/>
        <v>82</v>
      </c>
      <c r="AO57" s="2" t="s">
        <v>10</v>
      </c>
      <c r="AT57" s="11">
        <f t="shared" si="8"/>
        <v>56</v>
      </c>
      <c r="AU57" s="12" t="str">
        <f t="shared" si="9"/>
        <v/>
      </c>
    </row>
    <row r="58" spans="15:47" ht="18" customHeight="1">
      <c r="O58" s="2" t="str">
        <f t="shared" si="1"/>
        <v>STAGE 2 メイン・ルーチン</v>
      </c>
      <c r="X58" s="7" t="str">
        <f t="shared" si="2"/>
        <v>BEC0</v>
      </c>
      <c r="Y58" s="13"/>
      <c r="Z58" s="9" t="str">
        <f t="shared" si="3"/>
        <v>:00</v>
      </c>
      <c r="AB58" s="6">
        <f t="shared" si="4"/>
        <v>8</v>
      </c>
      <c r="AC58" s="6">
        <f t="shared" si="5"/>
        <v>190</v>
      </c>
      <c r="AD58" s="6">
        <f t="shared" si="6"/>
        <v>192</v>
      </c>
      <c r="AE58" s="9">
        <f t="shared" si="13"/>
        <v>0</v>
      </c>
      <c r="AF58" s="9">
        <f t="shared" si="13"/>
        <v>0</v>
      </c>
      <c r="AG58" s="9">
        <f t="shared" si="13"/>
        <v>0</v>
      </c>
      <c r="AH58" s="9">
        <f t="shared" si="13"/>
        <v>0</v>
      </c>
      <c r="AI58" s="9">
        <f t="shared" si="13"/>
        <v>0</v>
      </c>
      <c r="AJ58" s="9">
        <f t="shared" si="13"/>
        <v>0</v>
      </c>
      <c r="AK58" s="9">
        <f t="shared" si="13"/>
        <v>0</v>
      </c>
      <c r="AL58" s="9">
        <f t="shared" si="12"/>
        <v>0</v>
      </c>
      <c r="AM58" s="10" t="str">
        <f t="shared" si="7"/>
        <v>7A</v>
      </c>
      <c r="AO58" s="2" t="s">
        <v>10</v>
      </c>
      <c r="AT58" s="11">
        <f t="shared" si="8"/>
        <v>57</v>
      </c>
      <c r="AU58" s="12" t="str">
        <f t="shared" si="9"/>
        <v/>
      </c>
    </row>
    <row r="59" spans="15:47" ht="18" customHeight="1">
      <c r="O59" s="2" t="str">
        <f t="shared" si="1"/>
        <v>STAGE 2 メイン・ルーチン</v>
      </c>
      <c r="X59" s="7" t="str">
        <f t="shared" si="2"/>
        <v>BEC8</v>
      </c>
      <c r="Y59" s="13"/>
      <c r="Z59" s="9" t="str">
        <f t="shared" si="3"/>
        <v>:00</v>
      </c>
      <c r="AB59" s="6">
        <f t="shared" si="4"/>
        <v>8</v>
      </c>
      <c r="AC59" s="6">
        <f t="shared" si="5"/>
        <v>190</v>
      </c>
      <c r="AD59" s="6">
        <f t="shared" si="6"/>
        <v>200</v>
      </c>
      <c r="AE59" s="9">
        <f t="shared" si="13"/>
        <v>0</v>
      </c>
      <c r="AF59" s="9">
        <f t="shared" si="13"/>
        <v>0</v>
      </c>
      <c r="AG59" s="9">
        <f t="shared" si="13"/>
        <v>0</v>
      </c>
      <c r="AH59" s="9">
        <f t="shared" si="13"/>
        <v>0</v>
      </c>
      <c r="AI59" s="9">
        <f t="shared" si="13"/>
        <v>0</v>
      </c>
      <c r="AJ59" s="9">
        <f t="shared" si="13"/>
        <v>0</v>
      </c>
      <c r="AK59" s="9">
        <f t="shared" si="13"/>
        <v>0</v>
      </c>
      <c r="AL59" s="9">
        <f t="shared" si="12"/>
        <v>0</v>
      </c>
      <c r="AM59" s="10" t="str">
        <f t="shared" si="7"/>
        <v>72</v>
      </c>
      <c r="AO59" s="2" t="s">
        <v>10</v>
      </c>
      <c r="AT59" s="11">
        <f t="shared" si="8"/>
        <v>58</v>
      </c>
      <c r="AU59" s="12" t="str">
        <f t="shared" si="9"/>
        <v/>
      </c>
    </row>
    <row r="60" spans="15:47" ht="18" customHeight="1">
      <c r="O60" s="2" t="str">
        <f t="shared" si="1"/>
        <v>STAGE 2 メイン・ルーチン</v>
      </c>
      <c r="X60" s="7" t="str">
        <f t="shared" si="2"/>
        <v>BED0</v>
      </c>
      <c r="Y60" s="13"/>
      <c r="Z60" s="9" t="str">
        <f t="shared" si="3"/>
        <v>:00</v>
      </c>
      <c r="AB60" s="6">
        <f t="shared" si="4"/>
        <v>8</v>
      </c>
      <c r="AC60" s="6">
        <f t="shared" si="5"/>
        <v>190</v>
      </c>
      <c r="AD60" s="6">
        <f t="shared" si="6"/>
        <v>208</v>
      </c>
      <c r="AE60" s="9">
        <f t="shared" si="13"/>
        <v>0</v>
      </c>
      <c r="AF60" s="9">
        <f t="shared" si="13"/>
        <v>0</v>
      </c>
      <c r="AG60" s="9">
        <f t="shared" si="13"/>
        <v>0</v>
      </c>
      <c r="AH60" s="9">
        <f t="shared" si="13"/>
        <v>0</v>
      </c>
      <c r="AI60" s="9">
        <f t="shared" si="13"/>
        <v>0</v>
      </c>
      <c r="AJ60" s="9">
        <f t="shared" si="13"/>
        <v>0</v>
      </c>
      <c r="AK60" s="9">
        <f t="shared" si="13"/>
        <v>0</v>
      </c>
      <c r="AL60" s="9">
        <f t="shared" si="12"/>
        <v>0</v>
      </c>
      <c r="AM60" s="10" t="str">
        <f t="shared" si="7"/>
        <v>6A</v>
      </c>
      <c r="AO60" s="2" t="s">
        <v>10</v>
      </c>
      <c r="AT60" s="11">
        <f t="shared" si="8"/>
        <v>59</v>
      </c>
      <c r="AU60" s="12" t="str">
        <f t="shared" si="9"/>
        <v/>
      </c>
    </row>
    <row r="61" spans="15:47" ht="18" customHeight="1">
      <c r="O61" s="2" t="str">
        <f t="shared" si="1"/>
        <v>STAGE 2 メイン・ルーチン</v>
      </c>
      <c r="X61" s="7" t="str">
        <f t="shared" si="2"/>
        <v>BED8</v>
      </c>
      <c r="Y61" s="13"/>
      <c r="Z61" s="9" t="str">
        <f t="shared" si="3"/>
        <v>:00</v>
      </c>
      <c r="AB61" s="6">
        <f t="shared" si="4"/>
        <v>8</v>
      </c>
      <c r="AC61" s="6">
        <f t="shared" si="5"/>
        <v>190</v>
      </c>
      <c r="AD61" s="6">
        <f t="shared" si="6"/>
        <v>216</v>
      </c>
      <c r="AE61" s="9">
        <f t="shared" si="13"/>
        <v>0</v>
      </c>
      <c r="AF61" s="9">
        <f t="shared" si="13"/>
        <v>0</v>
      </c>
      <c r="AG61" s="9">
        <f t="shared" si="13"/>
        <v>0</v>
      </c>
      <c r="AH61" s="9">
        <f t="shared" si="13"/>
        <v>0</v>
      </c>
      <c r="AI61" s="9">
        <f t="shared" si="13"/>
        <v>0</v>
      </c>
      <c r="AJ61" s="9">
        <f t="shared" si="13"/>
        <v>0</v>
      </c>
      <c r="AK61" s="9">
        <f t="shared" si="13"/>
        <v>0</v>
      </c>
      <c r="AL61" s="9">
        <f t="shared" si="12"/>
        <v>0</v>
      </c>
      <c r="AM61" s="10" t="str">
        <f t="shared" si="7"/>
        <v>62</v>
      </c>
      <c r="AO61" s="2" t="s">
        <v>10</v>
      </c>
      <c r="AT61" s="11">
        <f t="shared" si="8"/>
        <v>60</v>
      </c>
      <c r="AU61" s="12" t="str">
        <f t="shared" si="9"/>
        <v/>
      </c>
    </row>
    <row r="62" spans="15:47" ht="18" customHeight="1">
      <c r="O62" s="2" t="str">
        <f t="shared" si="1"/>
        <v>STAGE 2 メイン・ルーチン</v>
      </c>
      <c r="X62" s="7" t="str">
        <f t="shared" si="2"/>
        <v>BEE0</v>
      </c>
      <c r="Y62" s="13"/>
      <c r="Z62" s="9" t="str">
        <f t="shared" si="3"/>
        <v>:00</v>
      </c>
      <c r="AB62" s="6">
        <f t="shared" si="4"/>
        <v>8</v>
      </c>
      <c r="AC62" s="6">
        <f t="shared" si="5"/>
        <v>190</v>
      </c>
      <c r="AD62" s="6">
        <f t="shared" si="6"/>
        <v>224</v>
      </c>
      <c r="AE62" s="9">
        <f t="shared" si="13"/>
        <v>0</v>
      </c>
      <c r="AF62" s="9">
        <f t="shared" si="13"/>
        <v>0</v>
      </c>
      <c r="AG62" s="9">
        <f t="shared" si="13"/>
        <v>0</v>
      </c>
      <c r="AH62" s="9">
        <f t="shared" si="13"/>
        <v>0</v>
      </c>
      <c r="AI62" s="9">
        <f t="shared" si="13"/>
        <v>0</v>
      </c>
      <c r="AJ62" s="9">
        <f t="shared" si="13"/>
        <v>0</v>
      </c>
      <c r="AK62" s="9">
        <f t="shared" si="13"/>
        <v>0</v>
      </c>
      <c r="AL62" s="9">
        <f t="shared" si="12"/>
        <v>0</v>
      </c>
      <c r="AM62" s="10" t="str">
        <f t="shared" si="7"/>
        <v>5A</v>
      </c>
      <c r="AO62" s="2" t="s">
        <v>10</v>
      </c>
      <c r="AT62" s="11">
        <f t="shared" si="8"/>
        <v>61</v>
      </c>
      <c r="AU62" s="12" t="str">
        <f t="shared" si="9"/>
        <v/>
      </c>
    </row>
    <row r="63" spans="15:47" ht="18" customHeight="1">
      <c r="O63" s="2" t="str">
        <f t="shared" si="1"/>
        <v>STAGE 2 メイン・ルーチン</v>
      </c>
      <c r="X63" s="7" t="str">
        <f t="shared" si="2"/>
        <v>BEE8</v>
      </c>
      <c r="Y63" s="13"/>
      <c r="Z63" s="9" t="str">
        <f t="shared" si="3"/>
        <v>:00</v>
      </c>
      <c r="AB63" s="6">
        <f t="shared" si="4"/>
        <v>8</v>
      </c>
      <c r="AC63" s="6">
        <f t="shared" si="5"/>
        <v>190</v>
      </c>
      <c r="AD63" s="6">
        <f t="shared" si="6"/>
        <v>232</v>
      </c>
      <c r="AE63" s="9">
        <f t="shared" si="13"/>
        <v>0</v>
      </c>
      <c r="AF63" s="9">
        <f t="shared" si="13"/>
        <v>0</v>
      </c>
      <c r="AG63" s="9">
        <f t="shared" si="13"/>
        <v>0</v>
      </c>
      <c r="AH63" s="9">
        <f t="shared" si="13"/>
        <v>0</v>
      </c>
      <c r="AI63" s="9">
        <f t="shared" si="13"/>
        <v>0</v>
      </c>
      <c r="AJ63" s="9">
        <f t="shared" si="13"/>
        <v>0</v>
      </c>
      <c r="AK63" s="9">
        <f t="shared" si="13"/>
        <v>0</v>
      </c>
      <c r="AL63" s="9">
        <f t="shared" si="12"/>
        <v>0</v>
      </c>
      <c r="AM63" s="10" t="str">
        <f t="shared" si="7"/>
        <v>52</v>
      </c>
      <c r="AO63" s="2" t="s">
        <v>10</v>
      </c>
      <c r="AT63" s="11">
        <f t="shared" si="8"/>
        <v>62</v>
      </c>
      <c r="AU63" s="12" t="str">
        <f t="shared" si="9"/>
        <v/>
      </c>
    </row>
    <row r="64" spans="15:47" ht="18" customHeight="1">
      <c r="O64" s="2" t="str">
        <f t="shared" si="1"/>
        <v>STAGE 2 メイン・ルーチン</v>
      </c>
      <c r="X64" s="7" t="str">
        <f t="shared" si="2"/>
        <v>BEF0</v>
      </c>
      <c r="Y64" s="13"/>
      <c r="Z64" s="9" t="str">
        <f t="shared" si="3"/>
        <v>:00</v>
      </c>
      <c r="AB64" s="6">
        <f t="shared" si="4"/>
        <v>8</v>
      </c>
      <c r="AC64" s="6">
        <f t="shared" si="5"/>
        <v>190</v>
      </c>
      <c r="AD64" s="6">
        <f t="shared" si="6"/>
        <v>240</v>
      </c>
      <c r="AE64" s="9">
        <f t="shared" si="13"/>
        <v>0</v>
      </c>
      <c r="AF64" s="9">
        <f t="shared" si="13"/>
        <v>0</v>
      </c>
      <c r="AG64" s="9">
        <f t="shared" si="13"/>
        <v>0</v>
      </c>
      <c r="AH64" s="9">
        <f t="shared" si="13"/>
        <v>0</v>
      </c>
      <c r="AI64" s="9">
        <f t="shared" si="13"/>
        <v>0</v>
      </c>
      <c r="AJ64" s="9">
        <f t="shared" si="13"/>
        <v>0</v>
      </c>
      <c r="AK64" s="9">
        <f t="shared" si="13"/>
        <v>0</v>
      </c>
      <c r="AL64" s="9">
        <f t="shared" si="12"/>
        <v>0</v>
      </c>
      <c r="AM64" s="10" t="str">
        <f t="shared" si="7"/>
        <v>4A</v>
      </c>
      <c r="AO64" s="2" t="s">
        <v>10</v>
      </c>
      <c r="AT64" s="11">
        <f t="shared" si="8"/>
        <v>63</v>
      </c>
      <c r="AU64" s="12" t="str">
        <f t="shared" si="9"/>
        <v/>
      </c>
    </row>
    <row r="65" spans="15:47" ht="18" customHeight="1">
      <c r="O65" s="2" t="str">
        <f t="shared" si="1"/>
        <v>STAGE 2 メイン・ルーチン</v>
      </c>
      <c r="X65" s="7" t="str">
        <f t="shared" si="2"/>
        <v>BEF8</v>
      </c>
      <c r="Y65" s="13"/>
      <c r="Z65" s="9" t="str">
        <f t="shared" si="3"/>
        <v>:00</v>
      </c>
      <c r="AB65" s="6">
        <f t="shared" si="4"/>
        <v>8</v>
      </c>
      <c r="AC65" s="6">
        <f t="shared" si="5"/>
        <v>190</v>
      </c>
      <c r="AD65" s="6">
        <f t="shared" si="6"/>
        <v>248</v>
      </c>
      <c r="AE65" s="9">
        <f t="shared" si="13"/>
        <v>0</v>
      </c>
      <c r="AF65" s="9">
        <f t="shared" si="13"/>
        <v>0</v>
      </c>
      <c r="AG65" s="9">
        <f t="shared" si="13"/>
        <v>0</v>
      </c>
      <c r="AH65" s="9">
        <f t="shared" si="13"/>
        <v>0</v>
      </c>
      <c r="AI65" s="9">
        <f t="shared" si="13"/>
        <v>0</v>
      </c>
      <c r="AJ65" s="9">
        <f t="shared" si="13"/>
        <v>0</v>
      </c>
      <c r="AK65" s="9">
        <f t="shared" si="13"/>
        <v>0</v>
      </c>
      <c r="AL65" s="9">
        <f t="shared" si="12"/>
        <v>0</v>
      </c>
      <c r="AM65" s="10" t="str">
        <f t="shared" si="7"/>
        <v>42</v>
      </c>
      <c r="AO65" s="2" t="s">
        <v>10</v>
      </c>
      <c r="AT65" s="11">
        <f t="shared" si="8"/>
        <v>64</v>
      </c>
      <c r="AU65" s="12" t="str">
        <f t="shared" si="9"/>
        <v/>
      </c>
    </row>
    <row r="66" spans="15:47" ht="18" customHeight="1">
      <c r="O66" s="2" t="str">
        <f t="shared" si="1"/>
        <v>STAGE 2 メイン・ルーチン</v>
      </c>
      <c r="X66" s="7" t="str">
        <f t="shared" si="2"/>
        <v>BF00</v>
      </c>
      <c r="Y66" s="13"/>
      <c r="Z66" s="9" t="str">
        <f t="shared" si="3"/>
        <v>:00</v>
      </c>
      <c r="AB66" s="6">
        <f t="shared" si="4"/>
        <v>8</v>
      </c>
      <c r="AC66" s="6">
        <f t="shared" si="5"/>
        <v>191</v>
      </c>
      <c r="AD66" s="6">
        <f t="shared" si="6"/>
        <v>0</v>
      </c>
      <c r="AE66" s="9">
        <f t="shared" si="13"/>
        <v>0</v>
      </c>
      <c r="AF66" s="9">
        <f t="shared" si="13"/>
        <v>0</v>
      </c>
      <c r="AG66" s="9">
        <f t="shared" si="13"/>
        <v>0</v>
      </c>
      <c r="AH66" s="9">
        <f t="shared" si="13"/>
        <v>0</v>
      </c>
      <c r="AI66" s="9">
        <f t="shared" si="13"/>
        <v>0</v>
      </c>
      <c r="AJ66" s="9">
        <f t="shared" si="13"/>
        <v>0</v>
      </c>
      <c r="AK66" s="9">
        <f t="shared" si="13"/>
        <v>0</v>
      </c>
      <c r="AL66" s="9">
        <f t="shared" si="12"/>
        <v>0</v>
      </c>
      <c r="AM66" s="10" t="str">
        <f t="shared" si="7"/>
        <v>39</v>
      </c>
      <c r="AO66" s="2" t="s">
        <v>10</v>
      </c>
      <c r="AT66" s="11">
        <f t="shared" si="8"/>
        <v>65</v>
      </c>
      <c r="AU66" s="12" t="str">
        <f t="shared" si="9"/>
        <v/>
      </c>
    </row>
    <row r="67" spans="15:47" ht="18" customHeight="1">
      <c r="O67" s="2" t="str">
        <f t="shared" ref="O67:O97" si="14">$A$8</f>
        <v>STAGE 2 メイン・ルーチン</v>
      </c>
      <c r="X67" s="7" t="str">
        <f t="shared" ref="X67:X130" si="15">DEC2HEX(AC67,2)&amp;DEC2HEX(AD67,2)</f>
        <v>BF08</v>
      </c>
      <c r="Y67" s="13"/>
      <c r="Z67" s="9" t="str">
        <f t="shared" ref="Z67:Z130" si="16">":" &amp; RIGHT(DEC2HEX(SUM(AE67:AL67),3),2)</f>
        <v>:00</v>
      </c>
      <c r="AB67" s="6">
        <f t="shared" ref="AB67:AB130" si="17">$E$2</f>
        <v>8</v>
      </c>
      <c r="AC67" s="6">
        <f t="shared" ref="AC67:AC130" si="18">HEX2DEC(LEFT(DEC2HEX(HEX2DEC($E$3)+(ROW($AC67)-ROW($AC$2))*$E$2,4),2))</f>
        <v>191</v>
      </c>
      <c r="AD67" s="6">
        <f t="shared" ref="AD67:AD130" si="19">HEX2DEC(MID(DEC2HEX(HEX2DEC($E$3)+(ROW($AD67)-ROW($AD$2))*$E$2,4),3,2))</f>
        <v>8</v>
      </c>
      <c r="AE67" s="9">
        <f t="shared" si="13"/>
        <v>0</v>
      </c>
      <c r="AF67" s="9">
        <f t="shared" si="13"/>
        <v>0</v>
      </c>
      <c r="AG67" s="9">
        <f t="shared" si="13"/>
        <v>0</v>
      </c>
      <c r="AH67" s="9">
        <f t="shared" si="13"/>
        <v>0</v>
      </c>
      <c r="AI67" s="9">
        <f t="shared" si="13"/>
        <v>0</v>
      </c>
      <c r="AJ67" s="9">
        <f t="shared" si="13"/>
        <v>0</v>
      </c>
      <c r="AK67" s="9">
        <f t="shared" si="13"/>
        <v>0</v>
      </c>
      <c r="AL67" s="9">
        <f t="shared" si="12"/>
        <v>0</v>
      </c>
      <c r="AM67" s="10" t="str">
        <f t="shared" ref="AM67:AM130" si="20">RIGHT(DEC2HEX(256-MOD(SUM(AB67:AL67),256),3),2)</f>
        <v>31</v>
      </c>
      <c r="AO67" s="2" t="s">
        <v>10</v>
      </c>
      <c r="AT67" s="11">
        <f t="shared" ref="AT67:AT130" si="21">AT66+1</f>
        <v>66</v>
      </c>
      <c r="AU67" s="12" t="str">
        <f t="shared" ref="AU67:AU130" si="22">IF(TRIM(Y67)="","",":"&amp;DEC2HEX(AB67,2)&amp;DEC2HEX(AC67,2)&amp;DEC2HEX(AD67,2)&amp;"00"&amp;DEC2HEX(AE67,2)&amp;DEC2HEX(AF67,2)&amp;DEC2HEX(AG67,2)&amp;DEC2HEX(AH67,2)&amp;DEC2HEX(AI67,2)&amp;DEC2HEX(AJ67,2)&amp;DEC2HEX(AK67,2)&amp;DEC2HEX(AL67,2)&amp;AM67)</f>
        <v/>
      </c>
    </row>
    <row r="68" spans="15:47" ht="18" customHeight="1">
      <c r="O68" s="2" t="str">
        <f t="shared" si="14"/>
        <v>STAGE 2 メイン・ルーチン</v>
      </c>
      <c r="X68" s="7" t="str">
        <f t="shared" si="15"/>
        <v>BF10</v>
      </c>
      <c r="Y68" s="13"/>
      <c r="Z68" s="9" t="str">
        <f t="shared" si="16"/>
        <v>:00</v>
      </c>
      <c r="AB68" s="6">
        <f t="shared" si="17"/>
        <v>8</v>
      </c>
      <c r="AC68" s="6">
        <f t="shared" si="18"/>
        <v>191</v>
      </c>
      <c r="AD68" s="6">
        <f t="shared" si="19"/>
        <v>16</v>
      </c>
      <c r="AE68" s="9">
        <f t="shared" si="13"/>
        <v>0</v>
      </c>
      <c r="AF68" s="9">
        <f t="shared" si="13"/>
        <v>0</v>
      </c>
      <c r="AG68" s="9">
        <f t="shared" si="13"/>
        <v>0</v>
      </c>
      <c r="AH68" s="9">
        <f t="shared" si="13"/>
        <v>0</v>
      </c>
      <c r="AI68" s="9">
        <f t="shared" si="13"/>
        <v>0</v>
      </c>
      <c r="AJ68" s="9">
        <f t="shared" si="13"/>
        <v>0</v>
      </c>
      <c r="AK68" s="9">
        <f t="shared" si="13"/>
        <v>0</v>
      </c>
      <c r="AL68" s="9">
        <f t="shared" si="12"/>
        <v>0</v>
      </c>
      <c r="AM68" s="10" t="str">
        <f t="shared" si="20"/>
        <v>29</v>
      </c>
      <c r="AO68" s="2" t="s">
        <v>10</v>
      </c>
      <c r="AT68" s="11">
        <f t="shared" si="21"/>
        <v>67</v>
      </c>
      <c r="AU68" s="12" t="str">
        <f t="shared" si="22"/>
        <v/>
      </c>
    </row>
    <row r="69" spans="15:47" ht="18" customHeight="1">
      <c r="O69" s="2" t="str">
        <f t="shared" si="14"/>
        <v>STAGE 2 メイン・ルーチン</v>
      </c>
      <c r="X69" s="7" t="str">
        <f t="shared" si="15"/>
        <v>BF18</v>
      </c>
      <c r="Y69" s="13"/>
      <c r="Z69" s="9" t="str">
        <f t="shared" si="16"/>
        <v>:00</v>
      </c>
      <c r="AB69" s="6">
        <f t="shared" si="17"/>
        <v>8</v>
      </c>
      <c r="AC69" s="6">
        <f t="shared" si="18"/>
        <v>191</v>
      </c>
      <c r="AD69" s="6">
        <f t="shared" si="19"/>
        <v>24</v>
      </c>
      <c r="AE69" s="9">
        <f t="shared" si="13"/>
        <v>0</v>
      </c>
      <c r="AF69" s="9">
        <f t="shared" si="13"/>
        <v>0</v>
      </c>
      <c r="AG69" s="9">
        <f t="shared" si="13"/>
        <v>0</v>
      </c>
      <c r="AH69" s="9">
        <f t="shared" si="13"/>
        <v>0</v>
      </c>
      <c r="AI69" s="9">
        <f t="shared" si="13"/>
        <v>0</v>
      </c>
      <c r="AJ69" s="9">
        <f t="shared" si="13"/>
        <v>0</v>
      </c>
      <c r="AK69" s="9">
        <f t="shared" si="13"/>
        <v>0</v>
      </c>
      <c r="AL69" s="9">
        <f t="shared" si="12"/>
        <v>0</v>
      </c>
      <c r="AM69" s="10" t="str">
        <f t="shared" si="20"/>
        <v>21</v>
      </c>
      <c r="AO69" s="2" t="s">
        <v>10</v>
      </c>
      <c r="AT69" s="11">
        <f t="shared" si="21"/>
        <v>68</v>
      </c>
      <c r="AU69" s="12" t="str">
        <f t="shared" si="22"/>
        <v/>
      </c>
    </row>
    <row r="70" spans="15:47" ht="18" customHeight="1">
      <c r="O70" s="2" t="str">
        <f t="shared" si="14"/>
        <v>STAGE 2 メイン・ルーチン</v>
      </c>
      <c r="X70" s="7" t="str">
        <f t="shared" si="15"/>
        <v>BF20</v>
      </c>
      <c r="Y70" s="13"/>
      <c r="Z70" s="9" t="str">
        <f t="shared" si="16"/>
        <v>:00</v>
      </c>
      <c r="AB70" s="6">
        <f t="shared" si="17"/>
        <v>8</v>
      </c>
      <c r="AC70" s="6">
        <f t="shared" si="18"/>
        <v>191</v>
      </c>
      <c r="AD70" s="6">
        <f t="shared" si="19"/>
        <v>32</v>
      </c>
      <c r="AE70" s="9">
        <f t="shared" si="13"/>
        <v>0</v>
      </c>
      <c r="AF70" s="9">
        <f t="shared" si="13"/>
        <v>0</v>
      </c>
      <c r="AG70" s="9">
        <f t="shared" si="13"/>
        <v>0</v>
      </c>
      <c r="AH70" s="9">
        <f t="shared" si="13"/>
        <v>0</v>
      </c>
      <c r="AI70" s="9">
        <f t="shared" si="13"/>
        <v>0</v>
      </c>
      <c r="AJ70" s="9">
        <f t="shared" si="13"/>
        <v>0</v>
      </c>
      <c r="AK70" s="9">
        <f t="shared" si="13"/>
        <v>0</v>
      </c>
      <c r="AL70" s="9">
        <f t="shared" si="12"/>
        <v>0</v>
      </c>
      <c r="AM70" s="10" t="str">
        <f t="shared" si="20"/>
        <v>19</v>
      </c>
      <c r="AO70" s="2" t="s">
        <v>10</v>
      </c>
      <c r="AT70" s="11">
        <f t="shared" si="21"/>
        <v>69</v>
      </c>
      <c r="AU70" s="12" t="str">
        <f t="shared" si="22"/>
        <v/>
      </c>
    </row>
    <row r="71" spans="15:47" ht="18" customHeight="1">
      <c r="O71" s="2" t="str">
        <f t="shared" si="14"/>
        <v>STAGE 2 メイン・ルーチン</v>
      </c>
      <c r="X71" s="7" t="str">
        <f t="shared" si="15"/>
        <v>BF28</v>
      </c>
      <c r="Y71" s="13"/>
      <c r="Z71" s="9" t="str">
        <f t="shared" si="16"/>
        <v>:00</v>
      </c>
      <c r="AB71" s="6">
        <f t="shared" si="17"/>
        <v>8</v>
      </c>
      <c r="AC71" s="6">
        <f t="shared" si="18"/>
        <v>191</v>
      </c>
      <c r="AD71" s="6">
        <f t="shared" si="19"/>
        <v>40</v>
      </c>
      <c r="AE71" s="9">
        <f t="shared" si="13"/>
        <v>0</v>
      </c>
      <c r="AF71" s="9">
        <f t="shared" si="13"/>
        <v>0</v>
      </c>
      <c r="AG71" s="9">
        <f t="shared" si="13"/>
        <v>0</v>
      </c>
      <c r="AH71" s="9">
        <f t="shared" si="13"/>
        <v>0</v>
      </c>
      <c r="AI71" s="9">
        <f t="shared" si="13"/>
        <v>0</v>
      </c>
      <c r="AJ71" s="9">
        <f t="shared" si="13"/>
        <v>0</v>
      </c>
      <c r="AK71" s="9">
        <f t="shared" si="13"/>
        <v>0</v>
      </c>
      <c r="AL71" s="9">
        <f t="shared" si="12"/>
        <v>0</v>
      </c>
      <c r="AM71" s="10" t="str">
        <f t="shared" si="20"/>
        <v>11</v>
      </c>
      <c r="AO71" s="2" t="s">
        <v>10</v>
      </c>
      <c r="AT71" s="11">
        <f t="shared" si="21"/>
        <v>70</v>
      </c>
      <c r="AU71" s="12" t="str">
        <f t="shared" si="22"/>
        <v/>
      </c>
    </row>
    <row r="72" spans="15:47" ht="18" customHeight="1">
      <c r="O72" s="2" t="str">
        <f t="shared" si="14"/>
        <v>STAGE 2 メイン・ルーチン</v>
      </c>
      <c r="X72" s="7" t="str">
        <f t="shared" si="15"/>
        <v>BF30</v>
      </c>
      <c r="Y72" s="13"/>
      <c r="Z72" s="9" t="str">
        <f t="shared" si="16"/>
        <v>:00</v>
      </c>
      <c r="AB72" s="6">
        <f t="shared" si="17"/>
        <v>8</v>
      </c>
      <c r="AC72" s="6">
        <f t="shared" si="18"/>
        <v>191</v>
      </c>
      <c r="AD72" s="6">
        <f t="shared" si="19"/>
        <v>48</v>
      </c>
      <c r="AE72" s="9">
        <f t="shared" si="13"/>
        <v>0</v>
      </c>
      <c r="AF72" s="9">
        <f t="shared" si="13"/>
        <v>0</v>
      </c>
      <c r="AG72" s="9">
        <f t="shared" si="13"/>
        <v>0</v>
      </c>
      <c r="AH72" s="9">
        <f t="shared" si="13"/>
        <v>0</v>
      </c>
      <c r="AI72" s="9">
        <f t="shared" si="13"/>
        <v>0</v>
      </c>
      <c r="AJ72" s="9">
        <f t="shared" si="13"/>
        <v>0</v>
      </c>
      <c r="AK72" s="9">
        <f t="shared" si="13"/>
        <v>0</v>
      </c>
      <c r="AL72" s="9">
        <f t="shared" si="12"/>
        <v>0</v>
      </c>
      <c r="AM72" s="10" t="str">
        <f t="shared" si="20"/>
        <v>09</v>
      </c>
      <c r="AO72" s="2" t="s">
        <v>10</v>
      </c>
      <c r="AT72" s="11">
        <f t="shared" si="21"/>
        <v>71</v>
      </c>
      <c r="AU72" s="12" t="str">
        <f t="shared" si="22"/>
        <v/>
      </c>
    </row>
    <row r="73" spans="15:47" ht="18" customHeight="1">
      <c r="O73" s="2" t="str">
        <f t="shared" si="14"/>
        <v>STAGE 2 メイン・ルーチン</v>
      </c>
      <c r="X73" s="7" t="str">
        <f t="shared" si="15"/>
        <v>BF38</v>
      </c>
      <c r="Y73" s="13"/>
      <c r="Z73" s="9" t="str">
        <f t="shared" si="16"/>
        <v>:00</v>
      </c>
      <c r="AB73" s="6">
        <f t="shared" si="17"/>
        <v>8</v>
      </c>
      <c r="AC73" s="6">
        <f t="shared" si="18"/>
        <v>191</v>
      </c>
      <c r="AD73" s="6">
        <f t="shared" si="19"/>
        <v>56</v>
      </c>
      <c r="AE73" s="9">
        <f t="shared" si="13"/>
        <v>0</v>
      </c>
      <c r="AF73" s="9">
        <f t="shared" si="13"/>
        <v>0</v>
      </c>
      <c r="AG73" s="9">
        <f t="shared" si="13"/>
        <v>0</v>
      </c>
      <c r="AH73" s="9">
        <f t="shared" si="13"/>
        <v>0</v>
      </c>
      <c r="AI73" s="9">
        <f t="shared" si="13"/>
        <v>0</v>
      </c>
      <c r="AJ73" s="9">
        <f t="shared" si="13"/>
        <v>0</v>
      </c>
      <c r="AK73" s="9">
        <f t="shared" si="13"/>
        <v>0</v>
      </c>
      <c r="AL73" s="9">
        <f t="shared" si="12"/>
        <v>0</v>
      </c>
      <c r="AM73" s="10" t="str">
        <f t="shared" si="20"/>
        <v>01</v>
      </c>
      <c r="AO73" s="2" t="s">
        <v>10</v>
      </c>
      <c r="AT73" s="11">
        <f t="shared" si="21"/>
        <v>72</v>
      </c>
      <c r="AU73" s="12" t="str">
        <f t="shared" si="22"/>
        <v/>
      </c>
    </row>
    <row r="74" spans="15:47" ht="18" customHeight="1">
      <c r="O74" s="2" t="str">
        <f t="shared" si="14"/>
        <v>STAGE 2 メイン・ルーチン</v>
      </c>
      <c r="X74" s="7" t="str">
        <f t="shared" si="15"/>
        <v>BF40</v>
      </c>
      <c r="Y74" s="13"/>
      <c r="Z74" s="9" t="str">
        <f t="shared" si="16"/>
        <v>:00</v>
      </c>
      <c r="AB74" s="6">
        <f t="shared" si="17"/>
        <v>8</v>
      </c>
      <c r="AC74" s="6">
        <f t="shared" si="18"/>
        <v>191</v>
      </c>
      <c r="AD74" s="6">
        <f t="shared" si="19"/>
        <v>64</v>
      </c>
      <c r="AE74" s="9">
        <f t="shared" si="13"/>
        <v>0</v>
      </c>
      <c r="AF74" s="9">
        <f t="shared" si="13"/>
        <v>0</v>
      </c>
      <c r="AG74" s="9">
        <f t="shared" si="13"/>
        <v>0</v>
      </c>
      <c r="AH74" s="9">
        <f t="shared" si="13"/>
        <v>0</v>
      </c>
      <c r="AI74" s="9">
        <f t="shared" si="13"/>
        <v>0</v>
      </c>
      <c r="AJ74" s="9">
        <f t="shared" si="13"/>
        <v>0</v>
      </c>
      <c r="AK74" s="9">
        <f t="shared" si="13"/>
        <v>0</v>
      </c>
      <c r="AL74" s="9">
        <f t="shared" si="12"/>
        <v>0</v>
      </c>
      <c r="AM74" s="10" t="str">
        <f t="shared" si="20"/>
        <v>F9</v>
      </c>
      <c r="AO74" s="2" t="s">
        <v>10</v>
      </c>
      <c r="AT74" s="11">
        <f t="shared" si="21"/>
        <v>73</v>
      </c>
      <c r="AU74" s="12" t="str">
        <f t="shared" si="22"/>
        <v/>
      </c>
    </row>
    <row r="75" spans="15:47" ht="18" customHeight="1">
      <c r="O75" s="2" t="str">
        <f t="shared" si="14"/>
        <v>STAGE 2 メイン・ルーチン</v>
      </c>
      <c r="X75" s="7" t="str">
        <f t="shared" si="15"/>
        <v>BF48</v>
      </c>
      <c r="Y75" s="13"/>
      <c r="Z75" s="9" t="str">
        <f t="shared" si="16"/>
        <v>:00</v>
      </c>
      <c r="AB75" s="6">
        <f t="shared" si="17"/>
        <v>8</v>
      </c>
      <c r="AC75" s="6">
        <f t="shared" si="18"/>
        <v>191</v>
      </c>
      <c r="AD75" s="6">
        <f t="shared" si="19"/>
        <v>72</v>
      </c>
      <c r="AE75" s="9">
        <f t="shared" si="13"/>
        <v>0</v>
      </c>
      <c r="AF75" s="9">
        <f t="shared" si="13"/>
        <v>0</v>
      </c>
      <c r="AG75" s="9">
        <f t="shared" si="13"/>
        <v>0</v>
      </c>
      <c r="AH75" s="9">
        <f t="shared" si="13"/>
        <v>0</v>
      </c>
      <c r="AI75" s="9">
        <f t="shared" si="13"/>
        <v>0</v>
      </c>
      <c r="AJ75" s="9">
        <f t="shared" si="13"/>
        <v>0</v>
      </c>
      <c r="AK75" s="9">
        <f t="shared" si="13"/>
        <v>0</v>
      </c>
      <c r="AL75" s="9">
        <f t="shared" si="12"/>
        <v>0</v>
      </c>
      <c r="AM75" s="10" t="str">
        <f t="shared" si="20"/>
        <v>F1</v>
      </c>
      <c r="AO75" s="2" t="s">
        <v>10</v>
      </c>
      <c r="AT75" s="11">
        <f t="shared" si="21"/>
        <v>74</v>
      </c>
      <c r="AU75" s="12" t="str">
        <f t="shared" si="22"/>
        <v/>
      </c>
    </row>
    <row r="76" spans="15:47" ht="18" customHeight="1">
      <c r="O76" s="2" t="str">
        <f t="shared" si="14"/>
        <v>STAGE 2 メイン・ルーチン</v>
      </c>
      <c r="X76" s="7" t="str">
        <f t="shared" si="15"/>
        <v>BF50</v>
      </c>
      <c r="Y76" s="13"/>
      <c r="Z76" s="9" t="str">
        <f t="shared" si="16"/>
        <v>:00</v>
      </c>
      <c r="AB76" s="6">
        <f t="shared" si="17"/>
        <v>8</v>
      </c>
      <c r="AC76" s="6">
        <f t="shared" si="18"/>
        <v>191</v>
      </c>
      <c r="AD76" s="6">
        <f t="shared" si="19"/>
        <v>80</v>
      </c>
      <c r="AE76" s="9">
        <f t="shared" si="13"/>
        <v>0</v>
      </c>
      <c r="AF76" s="9">
        <f t="shared" si="13"/>
        <v>0</v>
      </c>
      <c r="AG76" s="9">
        <f t="shared" si="13"/>
        <v>0</v>
      </c>
      <c r="AH76" s="9">
        <f t="shared" si="13"/>
        <v>0</v>
      </c>
      <c r="AI76" s="9">
        <f t="shared" si="13"/>
        <v>0</v>
      </c>
      <c r="AJ76" s="9">
        <f t="shared" si="13"/>
        <v>0</v>
      </c>
      <c r="AK76" s="9">
        <f t="shared" si="13"/>
        <v>0</v>
      </c>
      <c r="AL76" s="9">
        <f t="shared" si="12"/>
        <v>0</v>
      </c>
      <c r="AM76" s="10" t="str">
        <f t="shared" si="20"/>
        <v>E9</v>
      </c>
      <c r="AO76" s="2" t="s">
        <v>10</v>
      </c>
      <c r="AT76" s="11">
        <f t="shared" si="21"/>
        <v>75</v>
      </c>
      <c r="AU76" s="12" t="str">
        <f t="shared" si="22"/>
        <v/>
      </c>
    </row>
    <row r="77" spans="15:47" ht="18" customHeight="1">
      <c r="O77" s="2" t="str">
        <f t="shared" si="14"/>
        <v>STAGE 2 メイン・ルーチン</v>
      </c>
      <c r="X77" s="7" t="str">
        <f t="shared" si="15"/>
        <v>BF58</v>
      </c>
      <c r="Y77" s="13"/>
      <c r="Z77" s="9" t="str">
        <f t="shared" si="16"/>
        <v>:00</v>
      </c>
      <c r="AB77" s="6">
        <f t="shared" si="17"/>
        <v>8</v>
      </c>
      <c r="AC77" s="6">
        <f t="shared" si="18"/>
        <v>191</v>
      </c>
      <c r="AD77" s="6">
        <f t="shared" si="19"/>
        <v>88</v>
      </c>
      <c r="AE77" s="9">
        <f t="shared" si="13"/>
        <v>0</v>
      </c>
      <c r="AF77" s="9">
        <f t="shared" si="13"/>
        <v>0</v>
      </c>
      <c r="AG77" s="9">
        <f t="shared" si="13"/>
        <v>0</v>
      </c>
      <c r="AH77" s="9">
        <f t="shared" si="13"/>
        <v>0</v>
      </c>
      <c r="AI77" s="9">
        <f t="shared" si="13"/>
        <v>0</v>
      </c>
      <c r="AJ77" s="9">
        <f t="shared" si="13"/>
        <v>0</v>
      </c>
      <c r="AK77" s="9">
        <f t="shared" si="13"/>
        <v>0</v>
      </c>
      <c r="AL77" s="9">
        <f t="shared" si="12"/>
        <v>0</v>
      </c>
      <c r="AM77" s="10" t="str">
        <f t="shared" si="20"/>
        <v>E1</v>
      </c>
      <c r="AO77" s="2" t="s">
        <v>10</v>
      </c>
      <c r="AT77" s="11">
        <f t="shared" si="21"/>
        <v>76</v>
      </c>
      <c r="AU77" s="12" t="str">
        <f t="shared" si="22"/>
        <v/>
      </c>
    </row>
    <row r="78" spans="15:47" ht="18" customHeight="1">
      <c r="O78" s="2" t="str">
        <f t="shared" si="14"/>
        <v>STAGE 2 メイン・ルーチン</v>
      </c>
      <c r="X78" s="7" t="str">
        <f t="shared" si="15"/>
        <v>BF60</v>
      </c>
      <c r="Y78" s="13"/>
      <c r="Z78" s="9" t="str">
        <f t="shared" si="16"/>
        <v>:00</v>
      </c>
      <c r="AB78" s="6">
        <f t="shared" si="17"/>
        <v>8</v>
      </c>
      <c r="AC78" s="6">
        <f t="shared" si="18"/>
        <v>191</v>
      </c>
      <c r="AD78" s="6">
        <f t="shared" si="19"/>
        <v>96</v>
      </c>
      <c r="AE78" s="9">
        <f t="shared" si="13"/>
        <v>0</v>
      </c>
      <c r="AF78" s="9">
        <f t="shared" si="13"/>
        <v>0</v>
      </c>
      <c r="AG78" s="9">
        <f t="shared" si="13"/>
        <v>0</v>
      </c>
      <c r="AH78" s="9">
        <f t="shared" si="13"/>
        <v>0</v>
      </c>
      <c r="AI78" s="9">
        <f t="shared" si="13"/>
        <v>0</v>
      </c>
      <c r="AJ78" s="9">
        <f t="shared" si="13"/>
        <v>0</v>
      </c>
      <c r="AK78" s="9">
        <f t="shared" si="13"/>
        <v>0</v>
      </c>
      <c r="AL78" s="9">
        <f t="shared" si="12"/>
        <v>0</v>
      </c>
      <c r="AM78" s="10" t="str">
        <f t="shared" si="20"/>
        <v>D9</v>
      </c>
      <c r="AO78" s="2" t="s">
        <v>10</v>
      </c>
      <c r="AT78" s="11">
        <f t="shared" si="21"/>
        <v>77</v>
      </c>
      <c r="AU78" s="12" t="str">
        <f t="shared" si="22"/>
        <v/>
      </c>
    </row>
    <row r="79" spans="15:47" ht="18" customHeight="1">
      <c r="O79" s="2" t="str">
        <f t="shared" si="14"/>
        <v>STAGE 2 メイン・ルーチン</v>
      </c>
      <c r="X79" s="7" t="str">
        <f t="shared" si="15"/>
        <v>BF68</v>
      </c>
      <c r="Y79" s="13"/>
      <c r="Z79" s="9" t="str">
        <f t="shared" si="16"/>
        <v>:00</v>
      </c>
      <c r="AB79" s="6">
        <f t="shared" si="17"/>
        <v>8</v>
      </c>
      <c r="AC79" s="6">
        <f t="shared" si="18"/>
        <v>191</v>
      </c>
      <c r="AD79" s="6">
        <f t="shared" si="19"/>
        <v>104</v>
      </c>
      <c r="AE79" s="9">
        <f t="shared" si="13"/>
        <v>0</v>
      </c>
      <c r="AF79" s="9">
        <f t="shared" si="13"/>
        <v>0</v>
      </c>
      <c r="AG79" s="9">
        <f t="shared" si="13"/>
        <v>0</v>
      </c>
      <c r="AH79" s="9">
        <f t="shared" si="13"/>
        <v>0</v>
      </c>
      <c r="AI79" s="9">
        <f t="shared" si="13"/>
        <v>0</v>
      </c>
      <c r="AJ79" s="9">
        <f t="shared" si="13"/>
        <v>0</v>
      </c>
      <c r="AK79" s="9">
        <f t="shared" si="13"/>
        <v>0</v>
      </c>
      <c r="AL79" s="9">
        <f t="shared" si="12"/>
        <v>0</v>
      </c>
      <c r="AM79" s="10" t="str">
        <f t="shared" si="20"/>
        <v>D1</v>
      </c>
      <c r="AO79" s="2" t="s">
        <v>10</v>
      </c>
      <c r="AT79" s="11">
        <f t="shared" si="21"/>
        <v>78</v>
      </c>
      <c r="AU79" s="12" t="str">
        <f t="shared" si="22"/>
        <v/>
      </c>
    </row>
    <row r="80" spans="15:47" ht="18" customHeight="1">
      <c r="O80" s="2" t="str">
        <f t="shared" si="14"/>
        <v>STAGE 2 メイン・ルーチン</v>
      </c>
      <c r="X80" s="7" t="str">
        <f t="shared" si="15"/>
        <v>BF70</v>
      </c>
      <c r="Y80" s="13"/>
      <c r="Z80" s="9" t="str">
        <f t="shared" si="16"/>
        <v>:00</v>
      </c>
      <c r="AB80" s="6">
        <f t="shared" si="17"/>
        <v>8</v>
      </c>
      <c r="AC80" s="6">
        <f t="shared" si="18"/>
        <v>191</v>
      </c>
      <c r="AD80" s="6">
        <f t="shared" si="19"/>
        <v>112</v>
      </c>
      <c r="AE80" s="9">
        <f t="shared" si="13"/>
        <v>0</v>
      </c>
      <c r="AF80" s="9">
        <f t="shared" si="13"/>
        <v>0</v>
      </c>
      <c r="AG80" s="9">
        <f t="shared" si="13"/>
        <v>0</v>
      </c>
      <c r="AH80" s="9">
        <f t="shared" si="13"/>
        <v>0</v>
      </c>
      <c r="AI80" s="9">
        <f t="shared" si="13"/>
        <v>0</v>
      </c>
      <c r="AJ80" s="9">
        <f t="shared" si="13"/>
        <v>0</v>
      </c>
      <c r="AK80" s="9">
        <f t="shared" si="13"/>
        <v>0</v>
      </c>
      <c r="AL80" s="9">
        <f t="shared" si="12"/>
        <v>0</v>
      </c>
      <c r="AM80" s="10" t="str">
        <f t="shared" si="20"/>
        <v>C9</v>
      </c>
      <c r="AO80" s="2" t="s">
        <v>10</v>
      </c>
      <c r="AT80" s="11">
        <f t="shared" si="21"/>
        <v>79</v>
      </c>
      <c r="AU80" s="12" t="str">
        <f t="shared" si="22"/>
        <v/>
      </c>
    </row>
    <row r="81" spans="15:47" ht="18" customHeight="1">
      <c r="O81" s="2" t="str">
        <f t="shared" si="14"/>
        <v>STAGE 2 メイン・ルーチン</v>
      </c>
      <c r="X81" s="7" t="str">
        <f t="shared" si="15"/>
        <v>BF78</v>
      </c>
      <c r="Y81" s="13"/>
      <c r="Z81" s="9" t="str">
        <f t="shared" si="16"/>
        <v>:00</v>
      </c>
      <c r="AB81" s="6">
        <f t="shared" si="17"/>
        <v>8</v>
      </c>
      <c r="AC81" s="6">
        <f t="shared" si="18"/>
        <v>191</v>
      </c>
      <c r="AD81" s="6">
        <f t="shared" si="19"/>
        <v>120</v>
      </c>
      <c r="AE81" s="9">
        <f t="shared" si="13"/>
        <v>0</v>
      </c>
      <c r="AF81" s="9">
        <f t="shared" si="13"/>
        <v>0</v>
      </c>
      <c r="AG81" s="9">
        <f t="shared" si="13"/>
        <v>0</v>
      </c>
      <c r="AH81" s="9">
        <f t="shared" si="13"/>
        <v>0</v>
      </c>
      <c r="AI81" s="9">
        <f t="shared" si="13"/>
        <v>0</v>
      </c>
      <c r="AJ81" s="9">
        <f t="shared" si="13"/>
        <v>0</v>
      </c>
      <c r="AK81" s="9">
        <f t="shared" si="13"/>
        <v>0</v>
      </c>
      <c r="AL81" s="9">
        <f t="shared" si="12"/>
        <v>0</v>
      </c>
      <c r="AM81" s="10" t="str">
        <f t="shared" si="20"/>
        <v>C1</v>
      </c>
      <c r="AO81" s="2" t="s">
        <v>10</v>
      </c>
      <c r="AT81" s="11">
        <f t="shared" si="21"/>
        <v>80</v>
      </c>
      <c r="AU81" s="12" t="str">
        <f t="shared" si="22"/>
        <v/>
      </c>
    </row>
    <row r="82" spans="15:47" ht="18" customHeight="1">
      <c r="O82" s="2" t="str">
        <f t="shared" si="14"/>
        <v>STAGE 2 メイン・ルーチン</v>
      </c>
      <c r="X82" s="7" t="str">
        <f t="shared" si="15"/>
        <v>BF80</v>
      </c>
      <c r="Y82" s="13"/>
      <c r="Z82" s="9" t="str">
        <f t="shared" si="16"/>
        <v>:00</v>
      </c>
      <c r="AB82" s="6">
        <f t="shared" si="17"/>
        <v>8</v>
      </c>
      <c r="AC82" s="6">
        <f t="shared" si="18"/>
        <v>191</v>
      </c>
      <c r="AD82" s="6">
        <f t="shared" si="19"/>
        <v>128</v>
      </c>
      <c r="AE82" s="9">
        <f t="shared" si="13"/>
        <v>0</v>
      </c>
      <c r="AF82" s="9">
        <f t="shared" si="13"/>
        <v>0</v>
      </c>
      <c r="AG82" s="9">
        <f t="shared" si="13"/>
        <v>0</v>
      </c>
      <c r="AH82" s="9">
        <f t="shared" si="13"/>
        <v>0</v>
      </c>
      <c r="AI82" s="9">
        <f t="shared" si="13"/>
        <v>0</v>
      </c>
      <c r="AJ82" s="9">
        <f t="shared" si="13"/>
        <v>0</v>
      </c>
      <c r="AK82" s="9">
        <f t="shared" si="13"/>
        <v>0</v>
      </c>
      <c r="AL82" s="9">
        <f t="shared" si="12"/>
        <v>0</v>
      </c>
      <c r="AM82" s="10" t="str">
        <f t="shared" si="20"/>
        <v>B9</v>
      </c>
      <c r="AO82" s="2" t="s">
        <v>10</v>
      </c>
      <c r="AT82" s="11">
        <f t="shared" si="21"/>
        <v>81</v>
      </c>
      <c r="AU82" s="12" t="str">
        <f t="shared" si="22"/>
        <v/>
      </c>
    </row>
    <row r="83" spans="15:47" ht="18" customHeight="1">
      <c r="O83" s="2" t="str">
        <f t="shared" si="14"/>
        <v>STAGE 2 メイン・ルーチン</v>
      </c>
      <c r="X83" s="7" t="str">
        <f t="shared" si="15"/>
        <v>BF88</v>
      </c>
      <c r="Y83" s="13"/>
      <c r="Z83" s="9" t="str">
        <f t="shared" si="16"/>
        <v>:00</v>
      </c>
      <c r="AB83" s="6">
        <f t="shared" si="17"/>
        <v>8</v>
      </c>
      <c r="AC83" s="6">
        <f t="shared" si="18"/>
        <v>191</v>
      </c>
      <c r="AD83" s="6">
        <f t="shared" si="19"/>
        <v>136</v>
      </c>
      <c r="AE83" s="9">
        <f t="shared" si="13"/>
        <v>0</v>
      </c>
      <c r="AF83" s="9">
        <f t="shared" si="13"/>
        <v>0</v>
      </c>
      <c r="AG83" s="9">
        <f t="shared" si="13"/>
        <v>0</v>
      </c>
      <c r="AH83" s="9">
        <f t="shared" si="13"/>
        <v>0</v>
      </c>
      <c r="AI83" s="9">
        <f t="shared" si="13"/>
        <v>0</v>
      </c>
      <c r="AJ83" s="9">
        <f t="shared" si="13"/>
        <v>0</v>
      </c>
      <c r="AK83" s="9">
        <f t="shared" si="13"/>
        <v>0</v>
      </c>
      <c r="AL83" s="9">
        <f t="shared" si="12"/>
        <v>0</v>
      </c>
      <c r="AM83" s="10" t="str">
        <f t="shared" si="20"/>
        <v>B1</v>
      </c>
      <c r="AO83" s="2" t="s">
        <v>10</v>
      </c>
      <c r="AT83" s="11">
        <f t="shared" si="21"/>
        <v>82</v>
      </c>
      <c r="AU83" s="12" t="str">
        <f t="shared" si="22"/>
        <v/>
      </c>
    </row>
    <row r="84" spans="15:47" ht="18" customHeight="1">
      <c r="O84" s="2" t="str">
        <f t="shared" si="14"/>
        <v>STAGE 2 メイン・ルーチン</v>
      </c>
      <c r="X84" s="7" t="str">
        <f t="shared" si="15"/>
        <v>BF90</v>
      </c>
      <c r="Y84" s="13"/>
      <c r="Z84" s="9" t="str">
        <f t="shared" si="16"/>
        <v>:00</v>
      </c>
      <c r="AB84" s="6">
        <f t="shared" si="17"/>
        <v>8</v>
      </c>
      <c r="AC84" s="6">
        <f t="shared" si="18"/>
        <v>191</v>
      </c>
      <c r="AD84" s="6">
        <f t="shared" si="19"/>
        <v>144</v>
      </c>
      <c r="AE84" s="9">
        <f t="shared" si="13"/>
        <v>0</v>
      </c>
      <c r="AF84" s="9">
        <f t="shared" si="13"/>
        <v>0</v>
      </c>
      <c r="AG84" s="9">
        <f t="shared" si="13"/>
        <v>0</v>
      </c>
      <c r="AH84" s="9">
        <f t="shared" si="13"/>
        <v>0</v>
      </c>
      <c r="AI84" s="9">
        <f t="shared" si="13"/>
        <v>0</v>
      </c>
      <c r="AJ84" s="9">
        <f t="shared" si="13"/>
        <v>0</v>
      </c>
      <c r="AK84" s="9">
        <f t="shared" si="13"/>
        <v>0</v>
      </c>
      <c r="AL84" s="9">
        <f t="shared" si="12"/>
        <v>0</v>
      </c>
      <c r="AM84" s="10" t="str">
        <f t="shared" si="20"/>
        <v>A9</v>
      </c>
      <c r="AO84" s="2" t="s">
        <v>10</v>
      </c>
      <c r="AT84" s="11">
        <f t="shared" si="21"/>
        <v>83</v>
      </c>
      <c r="AU84" s="12" t="str">
        <f t="shared" si="22"/>
        <v/>
      </c>
    </row>
    <row r="85" spans="15:47" ht="18" customHeight="1">
      <c r="O85" s="2" t="str">
        <f t="shared" si="14"/>
        <v>STAGE 2 メイン・ルーチン</v>
      </c>
      <c r="X85" s="7" t="str">
        <f t="shared" si="15"/>
        <v>BF98</v>
      </c>
      <c r="Y85" s="13"/>
      <c r="Z85" s="9" t="str">
        <f t="shared" si="16"/>
        <v>:00</v>
      </c>
      <c r="AB85" s="6">
        <f t="shared" si="17"/>
        <v>8</v>
      </c>
      <c r="AC85" s="6">
        <f t="shared" si="18"/>
        <v>191</v>
      </c>
      <c r="AD85" s="6">
        <f t="shared" si="19"/>
        <v>152</v>
      </c>
      <c r="AE85" s="9">
        <f t="shared" si="13"/>
        <v>0</v>
      </c>
      <c r="AF85" s="9">
        <f t="shared" si="13"/>
        <v>0</v>
      </c>
      <c r="AG85" s="9">
        <f t="shared" si="13"/>
        <v>0</v>
      </c>
      <c r="AH85" s="9">
        <f t="shared" si="13"/>
        <v>0</v>
      </c>
      <c r="AI85" s="9">
        <f t="shared" si="13"/>
        <v>0</v>
      </c>
      <c r="AJ85" s="9">
        <f t="shared" si="13"/>
        <v>0</v>
      </c>
      <c r="AK85" s="9">
        <f t="shared" si="13"/>
        <v>0</v>
      </c>
      <c r="AL85" s="9">
        <f t="shared" si="12"/>
        <v>0</v>
      </c>
      <c r="AM85" s="10" t="str">
        <f t="shared" si="20"/>
        <v>A1</v>
      </c>
      <c r="AO85" s="2" t="s">
        <v>10</v>
      </c>
      <c r="AT85" s="11">
        <f t="shared" si="21"/>
        <v>84</v>
      </c>
      <c r="AU85" s="12" t="str">
        <f t="shared" si="22"/>
        <v/>
      </c>
    </row>
    <row r="86" spans="15:47" ht="18" customHeight="1">
      <c r="O86" s="2" t="str">
        <f t="shared" si="14"/>
        <v>STAGE 2 メイン・ルーチン</v>
      </c>
      <c r="X86" s="7" t="str">
        <f t="shared" si="15"/>
        <v>BFA0</v>
      </c>
      <c r="Y86" s="13"/>
      <c r="Z86" s="9" t="str">
        <f t="shared" si="16"/>
        <v>:00</v>
      </c>
      <c r="AB86" s="6">
        <f t="shared" si="17"/>
        <v>8</v>
      </c>
      <c r="AC86" s="6">
        <f t="shared" si="18"/>
        <v>191</v>
      </c>
      <c r="AD86" s="6">
        <f t="shared" si="19"/>
        <v>160</v>
      </c>
      <c r="AE86" s="9">
        <f t="shared" si="13"/>
        <v>0</v>
      </c>
      <c r="AF86" s="9">
        <f t="shared" si="13"/>
        <v>0</v>
      </c>
      <c r="AG86" s="9">
        <f t="shared" si="13"/>
        <v>0</v>
      </c>
      <c r="AH86" s="9">
        <f t="shared" ref="AH86:AL142" si="23">HEX2DEC(MID($Y86,(COLUMN(AH86) - COLUMN($AE86)) * 2 + 1,2))</f>
        <v>0</v>
      </c>
      <c r="AI86" s="9">
        <f t="shared" si="23"/>
        <v>0</v>
      </c>
      <c r="AJ86" s="9">
        <f t="shared" si="23"/>
        <v>0</v>
      </c>
      <c r="AK86" s="9">
        <f t="shared" si="23"/>
        <v>0</v>
      </c>
      <c r="AL86" s="9">
        <f t="shared" si="12"/>
        <v>0</v>
      </c>
      <c r="AM86" s="10" t="str">
        <f t="shared" si="20"/>
        <v>99</v>
      </c>
      <c r="AO86" s="2" t="s">
        <v>10</v>
      </c>
      <c r="AT86" s="11">
        <f t="shared" si="21"/>
        <v>85</v>
      </c>
      <c r="AU86" s="12" t="str">
        <f t="shared" si="22"/>
        <v/>
      </c>
    </row>
    <row r="87" spans="15:47" ht="18" customHeight="1">
      <c r="O87" s="2" t="str">
        <f t="shared" si="14"/>
        <v>STAGE 2 メイン・ルーチン</v>
      </c>
      <c r="X87" s="7" t="str">
        <f t="shared" si="15"/>
        <v>BFA8</v>
      </c>
      <c r="Y87" s="13"/>
      <c r="Z87" s="9" t="str">
        <f t="shared" si="16"/>
        <v>:00</v>
      </c>
      <c r="AB87" s="6">
        <f t="shared" si="17"/>
        <v>8</v>
      </c>
      <c r="AC87" s="6">
        <f t="shared" si="18"/>
        <v>191</v>
      </c>
      <c r="AD87" s="6">
        <f t="shared" si="19"/>
        <v>168</v>
      </c>
      <c r="AE87" s="9">
        <f t="shared" ref="AE87:AL150" si="24">HEX2DEC(MID($Y87,(COLUMN(AE87) - COLUMN($AE87)) * 2 + 1,2))</f>
        <v>0</v>
      </c>
      <c r="AF87" s="9">
        <f t="shared" si="24"/>
        <v>0</v>
      </c>
      <c r="AG87" s="9">
        <f t="shared" si="24"/>
        <v>0</v>
      </c>
      <c r="AH87" s="9">
        <f t="shared" si="23"/>
        <v>0</v>
      </c>
      <c r="AI87" s="9">
        <f t="shared" si="23"/>
        <v>0</v>
      </c>
      <c r="AJ87" s="9">
        <f t="shared" si="23"/>
        <v>0</v>
      </c>
      <c r="AK87" s="9">
        <f t="shared" si="23"/>
        <v>0</v>
      </c>
      <c r="AL87" s="9">
        <f t="shared" si="12"/>
        <v>0</v>
      </c>
      <c r="AM87" s="10" t="str">
        <f t="shared" si="20"/>
        <v>91</v>
      </c>
      <c r="AO87" s="2" t="s">
        <v>10</v>
      </c>
      <c r="AT87" s="11">
        <f t="shared" si="21"/>
        <v>86</v>
      </c>
      <c r="AU87" s="12" t="str">
        <f t="shared" si="22"/>
        <v/>
      </c>
    </row>
    <row r="88" spans="15:47" ht="18" customHeight="1">
      <c r="O88" s="2" t="str">
        <f t="shared" si="14"/>
        <v>STAGE 2 メイン・ルーチン</v>
      </c>
      <c r="X88" s="7" t="str">
        <f t="shared" si="15"/>
        <v>BFB0</v>
      </c>
      <c r="Y88" s="13"/>
      <c r="Z88" s="9" t="str">
        <f t="shared" si="16"/>
        <v>:00</v>
      </c>
      <c r="AB88" s="6">
        <f t="shared" si="17"/>
        <v>8</v>
      </c>
      <c r="AC88" s="6">
        <f t="shared" si="18"/>
        <v>191</v>
      </c>
      <c r="AD88" s="6">
        <f t="shared" si="19"/>
        <v>176</v>
      </c>
      <c r="AE88" s="9">
        <f t="shared" si="24"/>
        <v>0</v>
      </c>
      <c r="AF88" s="9">
        <f t="shared" si="24"/>
        <v>0</v>
      </c>
      <c r="AG88" s="9">
        <f t="shared" si="24"/>
        <v>0</v>
      </c>
      <c r="AH88" s="9">
        <f t="shared" si="23"/>
        <v>0</v>
      </c>
      <c r="AI88" s="9">
        <f t="shared" si="23"/>
        <v>0</v>
      </c>
      <c r="AJ88" s="9">
        <f t="shared" si="23"/>
        <v>0</v>
      </c>
      <c r="AK88" s="9">
        <f t="shared" si="23"/>
        <v>0</v>
      </c>
      <c r="AL88" s="9">
        <f t="shared" si="12"/>
        <v>0</v>
      </c>
      <c r="AM88" s="10" t="str">
        <f t="shared" si="20"/>
        <v>89</v>
      </c>
      <c r="AO88" s="2" t="s">
        <v>10</v>
      </c>
      <c r="AT88" s="11">
        <f t="shared" si="21"/>
        <v>87</v>
      </c>
      <c r="AU88" s="12" t="str">
        <f t="shared" si="22"/>
        <v/>
      </c>
    </row>
    <row r="89" spans="15:47" ht="18" customHeight="1">
      <c r="O89" s="2" t="str">
        <f t="shared" si="14"/>
        <v>STAGE 2 メイン・ルーチン</v>
      </c>
      <c r="X89" s="7" t="str">
        <f t="shared" si="15"/>
        <v>BFB8</v>
      </c>
      <c r="Y89" s="13"/>
      <c r="Z89" s="9" t="str">
        <f t="shared" si="16"/>
        <v>:00</v>
      </c>
      <c r="AB89" s="6">
        <f t="shared" si="17"/>
        <v>8</v>
      </c>
      <c r="AC89" s="6">
        <f t="shared" si="18"/>
        <v>191</v>
      </c>
      <c r="AD89" s="6">
        <f t="shared" si="19"/>
        <v>184</v>
      </c>
      <c r="AE89" s="9">
        <f t="shared" si="24"/>
        <v>0</v>
      </c>
      <c r="AF89" s="9">
        <f t="shared" si="24"/>
        <v>0</v>
      </c>
      <c r="AG89" s="9">
        <f t="shared" si="24"/>
        <v>0</v>
      </c>
      <c r="AH89" s="9">
        <f t="shared" si="23"/>
        <v>0</v>
      </c>
      <c r="AI89" s="9">
        <f t="shared" si="23"/>
        <v>0</v>
      </c>
      <c r="AJ89" s="9">
        <f t="shared" si="23"/>
        <v>0</v>
      </c>
      <c r="AK89" s="9">
        <f t="shared" si="23"/>
        <v>0</v>
      </c>
      <c r="AL89" s="9">
        <f t="shared" si="12"/>
        <v>0</v>
      </c>
      <c r="AM89" s="10" t="str">
        <f t="shared" si="20"/>
        <v>81</v>
      </c>
      <c r="AO89" s="2" t="s">
        <v>10</v>
      </c>
      <c r="AT89" s="11">
        <f t="shared" si="21"/>
        <v>88</v>
      </c>
      <c r="AU89" s="12" t="str">
        <f t="shared" si="22"/>
        <v/>
      </c>
    </row>
    <row r="90" spans="15:47" ht="18" customHeight="1">
      <c r="O90" s="2" t="str">
        <f t="shared" si="14"/>
        <v>STAGE 2 メイン・ルーチン</v>
      </c>
      <c r="X90" s="7" t="str">
        <f t="shared" si="15"/>
        <v>BFC0</v>
      </c>
      <c r="Y90" s="13"/>
      <c r="Z90" s="9" t="str">
        <f t="shared" si="16"/>
        <v>:00</v>
      </c>
      <c r="AB90" s="6">
        <f t="shared" si="17"/>
        <v>8</v>
      </c>
      <c r="AC90" s="6">
        <f t="shared" si="18"/>
        <v>191</v>
      </c>
      <c r="AD90" s="6">
        <f t="shared" si="19"/>
        <v>192</v>
      </c>
      <c r="AE90" s="9">
        <f t="shared" si="24"/>
        <v>0</v>
      </c>
      <c r="AF90" s="9">
        <f t="shared" si="24"/>
        <v>0</v>
      </c>
      <c r="AG90" s="9">
        <f t="shared" si="24"/>
        <v>0</v>
      </c>
      <c r="AH90" s="9">
        <f t="shared" si="23"/>
        <v>0</v>
      </c>
      <c r="AI90" s="9">
        <f t="shared" si="23"/>
        <v>0</v>
      </c>
      <c r="AJ90" s="9">
        <f t="shared" si="23"/>
        <v>0</v>
      </c>
      <c r="AK90" s="9">
        <f t="shared" si="23"/>
        <v>0</v>
      </c>
      <c r="AL90" s="9">
        <f t="shared" si="12"/>
        <v>0</v>
      </c>
      <c r="AM90" s="10" t="str">
        <f t="shared" si="20"/>
        <v>79</v>
      </c>
      <c r="AO90" s="2" t="s">
        <v>10</v>
      </c>
      <c r="AT90" s="11">
        <f t="shared" si="21"/>
        <v>89</v>
      </c>
      <c r="AU90" s="12" t="str">
        <f t="shared" si="22"/>
        <v/>
      </c>
    </row>
    <row r="91" spans="15:47" ht="18" customHeight="1">
      <c r="O91" s="2" t="str">
        <f t="shared" si="14"/>
        <v>STAGE 2 メイン・ルーチン</v>
      </c>
      <c r="X91" s="7" t="str">
        <f t="shared" si="15"/>
        <v>BFC8</v>
      </c>
      <c r="Y91" s="13"/>
      <c r="Z91" s="9" t="str">
        <f t="shared" si="16"/>
        <v>:00</v>
      </c>
      <c r="AB91" s="6">
        <f t="shared" si="17"/>
        <v>8</v>
      </c>
      <c r="AC91" s="6">
        <f t="shared" si="18"/>
        <v>191</v>
      </c>
      <c r="AD91" s="6">
        <f t="shared" si="19"/>
        <v>200</v>
      </c>
      <c r="AE91" s="9">
        <f t="shared" si="24"/>
        <v>0</v>
      </c>
      <c r="AF91" s="9">
        <f t="shared" si="24"/>
        <v>0</v>
      </c>
      <c r="AG91" s="9">
        <f t="shared" si="24"/>
        <v>0</v>
      </c>
      <c r="AH91" s="9">
        <f t="shared" si="23"/>
        <v>0</v>
      </c>
      <c r="AI91" s="9">
        <f t="shared" si="23"/>
        <v>0</v>
      </c>
      <c r="AJ91" s="9">
        <f t="shared" si="23"/>
        <v>0</v>
      </c>
      <c r="AK91" s="9">
        <f t="shared" si="23"/>
        <v>0</v>
      </c>
      <c r="AL91" s="9">
        <f t="shared" si="12"/>
        <v>0</v>
      </c>
      <c r="AM91" s="10" t="str">
        <f t="shared" si="20"/>
        <v>71</v>
      </c>
      <c r="AO91" s="2" t="s">
        <v>10</v>
      </c>
      <c r="AT91" s="11">
        <f t="shared" si="21"/>
        <v>90</v>
      </c>
      <c r="AU91" s="12" t="str">
        <f t="shared" si="22"/>
        <v/>
      </c>
    </row>
    <row r="92" spans="15:47" ht="18" customHeight="1">
      <c r="O92" s="2" t="str">
        <f t="shared" si="14"/>
        <v>STAGE 2 メイン・ルーチン</v>
      </c>
      <c r="X92" s="7" t="str">
        <f t="shared" si="15"/>
        <v>BFD0</v>
      </c>
      <c r="Y92" s="13"/>
      <c r="Z92" s="9" t="str">
        <f t="shared" si="16"/>
        <v>:00</v>
      </c>
      <c r="AB92" s="6">
        <f t="shared" si="17"/>
        <v>8</v>
      </c>
      <c r="AC92" s="6">
        <f t="shared" si="18"/>
        <v>191</v>
      </c>
      <c r="AD92" s="6">
        <f t="shared" si="19"/>
        <v>208</v>
      </c>
      <c r="AE92" s="9">
        <f t="shared" si="24"/>
        <v>0</v>
      </c>
      <c r="AF92" s="9">
        <f t="shared" si="24"/>
        <v>0</v>
      </c>
      <c r="AG92" s="9">
        <f t="shared" si="24"/>
        <v>0</v>
      </c>
      <c r="AH92" s="9">
        <f t="shared" si="23"/>
        <v>0</v>
      </c>
      <c r="AI92" s="9">
        <f t="shared" si="23"/>
        <v>0</v>
      </c>
      <c r="AJ92" s="9">
        <f t="shared" si="23"/>
        <v>0</v>
      </c>
      <c r="AK92" s="9">
        <f t="shared" si="23"/>
        <v>0</v>
      </c>
      <c r="AL92" s="9">
        <f t="shared" si="12"/>
        <v>0</v>
      </c>
      <c r="AM92" s="10" t="str">
        <f t="shared" si="20"/>
        <v>69</v>
      </c>
      <c r="AO92" s="2" t="s">
        <v>10</v>
      </c>
      <c r="AT92" s="11">
        <f t="shared" si="21"/>
        <v>91</v>
      </c>
      <c r="AU92" s="12" t="str">
        <f t="shared" si="22"/>
        <v/>
      </c>
    </row>
    <row r="93" spans="15:47" ht="18" customHeight="1">
      <c r="O93" s="2" t="str">
        <f t="shared" si="14"/>
        <v>STAGE 2 メイン・ルーチン</v>
      </c>
      <c r="X93" s="7" t="str">
        <f t="shared" si="15"/>
        <v>BFD8</v>
      </c>
      <c r="Y93" s="13"/>
      <c r="Z93" s="9" t="str">
        <f t="shared" si="16"/>
        <v>:00</v>
      </c>
      <c r="AB93" s="6">
        <f t="shared" si="17"/>
        <v>8</v>
      </c>
      <c r="AC93" s="6">
        <f t="shared" si="18"/>
        <v>191</v>
      </c>
      <c r="AD93" s="6">
        <f t="shared" si="19"/>
        <v>216</v>
      </c>
      <c r="AE93" s="9">
        <f t="shared" si="24"/>
        <v>0</v>
      </c>
      <c r="AF93" s="9">
        <f t="shared" si="24"/>
        <v>0</v>
      </c>
      <c r="AG93" s="9">
        <f t="shared" si="24"/>
        <v>0</v>
      </c>
      <c r="AH93" s="9">
        <f t="shared" si="23"/>
        <v>0</v>
      </c>
      <c r="AI93" s="9">
        <f t="shared" si="23"/>
        <v>0</v>
      </c>
      <c r="AJ93" s="9">
        <f t="shared" si="23"/>
        <v>0</v>
      </c>
      <c r="AK93" s="9">
        <f t="shared" si="23"/>
        <v>0</v>
      </c>
      <c r="AL93" s="9">
        <f t="shared" si="12"/>
        <v>0</v>
      </c>
      <c r="AM93" s="10" t="str">
        <f t="shared" si="20"/>
        <v>61</v>
      </c>
      <c r="AO93" s="2" t="s">
        <v>10</v>
      </c>
      <c r="AT93" s="11">
        <f t="shared" si="21"/>
        <v>92</v>
      </c>
      <c r="AU93" s="12" t="str">
        <f t="shared" si="22"/>
        <v/>
      </c>
    </row>
    <row r="94" spans="15:47" ht="18" customHeight="1">
      <c r="O94" s="2" t="str">
        <f t="shared" si="14"/>
        <v>STAGE 2 メイン・ルーチン</v>
      </c>
      <c r="X94" s="7" t="str">
        <f t="shared" si="15"/>
        <v>BFE0</v>
      </c>
      <c r="Y94" s="13"/>
      <c r="Z94" s="9" t="str">
        <f t="shared" si="16"/>
        <v>:00</v>
      </c>
      <c r="AB94" s="6">
        <f t="shared" si="17"/>
        <v>8</v>
      </c>
      <c r="AC94" s="6">
        <f t="shared" si="18"/>
        <v>191</v>
      </c>
      <c r="AD94" s="6">
        <f t="shared" si="19"/>
        <v>224</v>
      </c>
      <c r="AE94" s="9">
        <f t="shared" si="24"/>
        <v>0</v>
      </c>
      <c r="AF94" s="9">
        <f t="shared" si="24"/>
        <v>0</v>
      </c>
      <c r="AG94" s="9">
        <f t="shared" si="24"/>
        <v>0</v>
      </c>
      <c r="AH94" s="9">
        <f t="shared" si="23"/>
        <v>0</v>
      </c>
      <c r="AI94" s="9">
        <f t="shared" si="23"/>
        <v>0</v>
      </c>
      <c r="AJ94" s="9">
        <f t="shared" si="23"/>
        <v>0</v>
      </c>
      <c r="AK94" s="9">
        <f t="shared" si="23"/>
        <v>0</v>
      </c>
      <c r="AL94" s="9">
        <f t="shared" si="12"/>
        <v>0</v>
      </c>
      <c r="AM94" s="10" t="str">
        <f t="shared" si="20"/>
        <v>59</v>
      </c>
      <c r="AO94" s="2" t="s">
        <v>10</v>
      </c>
      <c r="AT94" s="11">
        <f t="shared" si="21"/>
        <v>93</v>
      </c>
      <c r="AU94" s="12" t="str">
        <f t="shared" si="22"/>
        <v/>
      </c>
    </row>
    <row r="95" spans="15:47" ht="18" customHeight="1">
      <c r="O95" s="2" t="str">
        <f t="shared" si="14"/>
        <v>STAGE 2 メイン・ルーチン</v>
      </c>
      <c r="X95" s="7" t="str">
        <f t="shared" si="15"/>
        <v>BFE8</v>
      </c>
      <c r="Y95" s="13"/>
      <c r="Z95" s="9" t="str">
        <f t="shared" si="16"/>
        <v>:00</v>
      </c>
      <c r="AB95" s="6">
        <f t="shared" si="17"/>
        <v>8</v>
      </c>
      <c r="AC95" s="6">
        <f t="shared" si="18"/>
        <v>191</v>
      </c>
      <c r="AD95" s="6">
        <f t="shared" si="19"/>
        <v>232</v>
      </c>
      <c r="AE95" s="9">
        <f t="shared" si="24"/>
        <v>0</v>
      </c>
      <c r="AF95" s="9">
        <f t="shared" si="24"/>
        <v>0</v>
      </c>
      <c r="AG95" s="9">
        <f t="shared" si="24"/>
        <v>0</v>
      </c>
      <c r="AH95" s="9">
        <f t="shared" si="23"/>
        <v>0</v>
      </c>
      <c r="AI95" s="9">
        <f t="shared" si="23"/>
        <v>0</v>
      </c>
      <c r="AJ95" s="9">
        <f t="shared" si="23"/>
        <v>0</v>
      </c>
      <c r="AK95" s="9">
        <f t="shared" si="23"/>
        <v>0</v>
      </c>
      <c r="AL95" s="9">
        <f t="shared" si="12"/>
        <v>0</v>
      </c>
      <c r="AM95" s="10" t="str">
        <f t="shared" si="20"/>
        <v>51</v>
      </c>
      <c r="AO95" s="2" t="s">
        <v>10</v>
      </c>
      <c r="AT95" s="11">
        <f t="shared" si="21"/>
        <v>94</v>
      </c>
      <c r="AU95" s="12" t="str">
        <f t="shared" si="22"/>
        <v/>
      </c>
    </row>
    <row r="96" spans="15:47" ht="18" customHeight="1">
      <c r="O96" s="2" t="str">
        <f t="shared" si="14"/>
        <v>STAGE 2 メイン・ルーチン</v>
      </c>
      <c r="X96" s="7" t="str">
        <f t="shared" si="15"/>
        <v>BFF0</v>
      </c>
      <c r="Y96" s="13"/>
      <c r="Z96" s="9" t="str">
        <f t="shared" si="16"/>
        <v>:00</v>
      </c>
      <c r="AB96" s="6">
        <f t="shared" si="17"/>
        <v>8</v>
      </c>
      <c r="AC96" s="6">
        <f t="shared" si="18"/>
        <v>191</v>
      </c>
      <c r="AD96" s="6">
        <f t="shared" si="19"/>
        <v>240</v>
      </c>
      <c r="AE96" s="9">
        <f t="shared" si="24"/>
        <v>0</v>
      </c>
      <c r="AF96" s="9">
        <f t="shared" si="24"/>
        <v>0</v>
      </c>
      <c r="AG96" s="9">
        <f t="shared" si="24"/>
        <v>0</v>
      </c>
      <c r="AH96" s="9">
        <f t="shared" si="23"/>
        <v>0</v>
      </c>
      <c r="AI96" s="9">
        <f t="shared" si="23"/>
        <v>0</v>
      </c>
      <c r="AJ96" s="9">
        <f t="shared" si="23"/>
        <v>0</v>
      </c>
      <c r="AK96" s="9">
        <f t="shared" si="23"/>
        <v>0</v>
      </c>
      <c r="AL96" s="9">
        <f t="shared" si="12"/>
        <v>0</v>
      </c>
      <c r="AM96" s="10" t="str">
        <f t="shared" si="20"/>
        <v>49</v>
      </c>
      <c r="AO96" s="2" t="s">
        <v>10</v>
      </c>
      <c r="AT96" s="11">
        <f t="shared" si="21"/>
        <v>95</v>
      </c>
      <c r="AU96" s="12" t="str">
        <f t="shared" si="22"/>
        <v/>
      </c>
    </row>
    <row r="97" spans="15:47" ht="18" customHeight="1">
      <c r="O97" s="2" t="str">
        <f t="shared" si="14"/>
        <v>STAGE 2 メイン・ルーチン</v>
      </c>
      <c r="X97" s="7" t="str">
        <f t="shared" si="15"/>
        <v>BFF8</v>
      </c>
      <c r="Y97" s="13"/>
      <c r="Z97" s="9" t="str">
        <f t="shared" si="16"/>
        <v>:00</v>
      </c>
      <c r="AB97" s="6">
        <f t="shared" si="17"/>
        <v>8</v>
      </c>
      <c r="AC97" s="6">
        <f t="shared" si="18"/>
        <v>191</v>
      </c>
      <c r="AD97" s="6">
        <f t="shared" si="19"/>
        <v>248</v>
      </c>
      <c r="AE97" s="9">
        <f t="shared" si="24"/>
        <v>0</v>
      </c>
      <c r="AF97" s="9">
        <f t="shared" si="24"/>
        <v>0</v>
      </c>
      <c r="AG97" s="9">
        <f t="shared" si="24"/>
        <v>0</v>
      </c>
      <c r="AH97" s="9">
        <f t="shared" si="23"/>
        <v>0</v>
      </c>
      <c r="AI97" s="9">
        <f t="shared" si="23"/>
        <v>0</v>
      </c>
      <c r="AJ97" s="9">
        <f t="shared" si="23"/>
        <v>0</v>
      </c>
      <c r="AK97" s="9">
        <f t="shared" si="23"/>
        <v>0</v>
      </c>
      <c r="AL97" s="9">
        <f t="shared" si="12"/>
        <v>0</v>
      </c>
      <c r="AM97" s="10" t="str">
        <f t="shared" si="20"/>
        <v>41</v>
      </c>
      <c r="AO97" s="2" t="s">
        <v>10</v>
      </c>
      <c r="AT97" s="11">
        <f t="shared" si="21"/>
        <v>96</v>
      </c>
      <c r="AU97" s="12" t="str">
        <f t="shared" si="22"/>
        <v/>
      </c>
    </row>
    <row r="98" spans="15:47" ht="18" customHeight="1">
      <c r="O98" s="2" t="str">
        <f t="shared" ref="O98:O129" si="25">$A$9</f>
        <v>STAGE 1 洞窟データ</v>
      </c>
      <c r="X98" s="7" t="str">
        <f t="shared" si="15"/>
        <v>C000</v>
      </c>
      <c r="Y98" s="13"/>
      <c r="Z98" s="9" t="str">
        <f t="shared" si="16"/>
        <v>:00</v>
      </c>
      <c r="AB98" s="6">
        <f t="shared" si="17"/>
        <v>8</v>
      </c>
      <c r="AC98" s="6">
        <f t="shared" si="18"/>
        <v>192</v>
      </c>
      <c r="AD98" s="6">
        <f t="shared" si="19"/>
        <v>0</v>
      </c>
      <c r="AE98" s="9">
        <f t="shared" si="24"/>
        <v>0</v>
      </c>
      <c r="AF98" s="9">
        <f t="shared" si="24"/>
        <v>0</v>
      </c>
      <c r="AG98" s="9">
        <f t="shared" si="24"/>
        <v>0</v>
      </c>
      <c r="AH98" s="9">
        <f t="shared" si="23"/>
        <v>0</v>
      </c>
      <c r="AI98" s="9">
        <f t="shared" si="23"/>
        <v>0</v>
      </c>
      <c r="AJ98" s="9">
        <f t="shared" si="23"/>
        <v>0</v>
      </c>
      <c r="AK98" s="9">
        <f t="shared" si="23"/>
        <v>0</v>
      </c>
      <c r="AL98" s="9">
        <f t="shared" si="23"/>
        <v>0</v>
      </c>
      <c r="AM98" s="10" t="str">
        <f t="shared" si="20"/>
        <v>38</v>
      </c>
      <c r="AO98" s="2" t="s">
        <v>10</v>
      </c>
      <c r="AT98" s="11">
        <f t="shared" si="21"/>
        <v>97</v>
      </c>
      <c r="AU98" s="12" t="str">
        <f t="shared" si="22"/>
        <v/>
      </c>
    </row>
    <row r="99" spans="15:47" ht="18" customHeight="1">
      <c r="O99" s="2" t="str">
        <f t="shared" si="25"/>
        <v>STAGE 1 洞窟データ</v>
      </c>
      <c r="X99" s="7" t="str">
        <f t="shared" si="15"/>
        <v>C008</v>
      </c>
      <c r="Y99" s="13"/>
      <c r="Z99" s="9" t="str">
        <f t="shared" si="16"/>
        <v>:00</v>
      </c>
      <c r="AB99" s="6">
        <f t="shared" si="17"/>
        <v>8</v>
      </c>
      <c r="AC99" s="6">
        <f t="shared" si="18"/>
        <v>192</v>
      </c>
      <c r="AD99" s="6">
        <f t="shared" si="19"/>
        <v>8</v>
      </c>
      <c r="AE99" s="9">
        <f t="shared" si="24"/>
        <v>0</v>
      </c>
      <c r="AF99" s="9">
        <f t="shared" si="24"/>
        <v>0</v>
      </c>
      <c r="AG99" s="9">
        <f t="shared" si="24"/>
        <v>0</v>
      </c>
      <c r="AH99" s="9">
        <f t="shared" si="23"/>
        <v>0</v>
      </c>
      <c r="AI99" s="9">
        <f t="shared" si="23"/>
        <v>0</v>
      </c>
      <c r="AJ99" s="9">
        <f t="shared" si="23"/>
        <v>0</v>
      </c>
      <c r="AK99" s="9">
        <f t="shared" si="23"/>
        <v>0</v>
      </c>
      <c r="AL99" s="9">
        <f t="shared" si="23"/>
        <v>0</v>
      </c>
      <c r="AM99" s="10" t="str">
        <f t="shared" si="20"/>
        <v>30</v>
      </c>
      <c r="AO99" s="2" t="s">
        <v>10</v>
      </c>
      <c r="AT99" s="11">
        <f t="shared" si="21"/>
        <v>98</v>
      </c>
      <c r="AU99" s="12" t="str">
        <f t="shared" si="22"/>
        <v/>
      </c>
    </row>
    <row r="100" spans="15:47" ht="18" customHeight="1">
      <c r="O100" s="2" t="str">
        <f t="shared" si="25"/>
        <v>STAGE 1 洞窟データ</v>
      </c>
      <c r="X100" s="7" t="str">
        <f t="shared" si="15"/>
        <v>C010</v>
      </c>
      <c r="Y100" s="13"/>
      <c r="Z100" s="9" t="str">
        <f t="shared" si="16"/>
        <v>:00</v>
      </c>
      <c r="AB100" s="6">
        <f t="shared" si="17"/>
        <v>8</v>
      </c>
      <c r="AC100" s="6">
        <f t="shared" si="18"/>
        <v>192</v>
      </c>
      <c r="AD100" s="6">
        <f t="shared" si="19"/>
        <v>16</v>
      </c>
      <c r="AE100" s="9">
        <f t="shared" si="24"/>
        <v>0</v>
      </c>
      <c r="AF100" s="9">
        <f t="shared" si="24"/>
        <v>0</v>
      </c>
      <c r="AG100" s="9">
        <f t="shared" si="24"/>
        <v>0</v>
      </c>
      <c r="AH100" s="9">
        <f t="shared" si="23"/>
        <v>0</v>
      </c>
      <c r="AI100" s="9">
        <f t="shared" si="23"/>
        <v>0</v>
      </c>
      <c r="AJ100" s="9">
        <f t="shared" si="23"/>
        <v>0</v>
      </c>
      <c r="AK100" s="9">
        <f t="shared" si="23"/>
        <v>0</v>
      </c>
      <c r="AL100" s="9">
        <f t="shared" si="23"/>
        <v>0</v>
      </c>
      <c r="AM100" s="10" t="str">
        <f t="shared" si="20"/>
        <v>28</v>
      </c>
      <c r="AO100" s="2" t="s">
        <v>10</v>
      </c>
      <c r="AT100" s="11">
        <f t="shared" si="21"/>
        <v>99</v>
      </c>
      <c r="AU100" s="12" t="str">
        <f t="shared" si="22"/>
        <v/>
      </c>
    </row>
    <row r="101" spans="15:47" ht="18" customHeight="1">
      <c r="O101" s="2" t="str">
        <f t="shared" si="25"/>
        <v>STAGE 1 洞窟データ</v>
      </c>
      <c r="X101" s="7" t="str">
        <f t="shared" si="15"/>
        <v>C018</v>
      </c>
      <c r="Y101" s="13"/>
      <c r="Z101" s="9" t="str">
        <f t="shared" si="16"/>
        <v>:00</v>
      </c>
      <c r="AB101" s="6">
        <f t="shared" si="17"/>
        <v>8</v>
      </c>
      <c r="AC101" s="6">
        <f t="shared" si="18"/>
        <v>192</v>
      </c>
      <c r="AD101" s="6">
        <f t="shared" si="19"/>
        <v>24</v>
      </c>
      <c r="AE101" s="9">
        <f t="shared" si="24"/>
        <v>0</v>
      </c>
      <c r="AF101" s="9">
        <f t="shared" si="24"/>
        <v>0</v>
      </c>
      <c r="AG101" s="9">
        <f t="shared" si="24"/>
        <v>0</v>
      </c>
      <c r="AH101" s="9">
        <f t="shared" si="23"/>
        <v>0</v>
      </c>
      <c r="AI101" s="9">
        <f t="shared" si="23"/>
        <v>0</v>
      </c>
      <c r="AJ101" s="9">
        <f t="shared" si="23"/>
        <v>0</v>
      </c>
      <c r="AK101" s="9">
        <f t="shared" si="23"/>
        <v>0</v>
      </c>
      <c r="AL101" s="9">
        <f t="shared" si="23"/>
        <v>0</v>
      </c>
      <c r="AM101" s="10" t="str">
        <f t="shared" si="20"/>
        <v>20</v>
      </c>
      <c r="AO101" s="2" t="s">
        <v>10</v>
      </c>
      <c r="AT101" s="11">
        <f t="shared" si="21"/>
        <v>100</v>
      </c>
      <c r="AU101" s="12" t="str">
        <f t="shared" si="22"/>
        <v/>
      </c>
    </row>
    <row r="102" spans="15:47" ht="18" customHeight="1">
      <c r="O102" s="2" t="str">
        <f t="shared" si="25"/>
        <v>STAGE 1 洞窟データ</v>
      </c>
      <c r="X102" s="7" t="str">
        <f t="shared" si="15"/>
        <v>C020</v>
      </c>
      <c r="Y102" s="13"/>
      <c r="Z102" s="9" t="str">
        <f t="shared" si="16"/>
        <v>:00</v>
      </c>
      <c r="AB102" s="6">
        <f t="shared" si="17"/>
        <v>8</v>
      </c>
      <c r="AC102" s="6">
        <f t="shared" si="18"/>
        <v>192</v>
      </c>
      <c r="AD102" s="6">
        <f t="shared" si="19"/>
        <v>32</v>
      </c>
      <c r="AE102" s="9">
        <f t="shared" si="24"/>
        <v>0</v>
      </c>
      <c r="AF102" s="9">
        <f t="shared" si="24"/>
        <v>0</v>
      </c>
      <c r="AG102" s="9">
        <f t="shared" si="24"/>
        <v>0</v>
      </c>
      <c r="AH102" s="9">
        <f t="shared" si="23"/>
        <v>0</v>
      </c>
      <c r="AI102" s="9">
        <f t="shared" si="23"/>
        <v>0</v>
      </c>
      <c r="AJ102" s="9">
        <f t="shared" si="23"/>
        <v>0</v>
      </c>
      <c r="AK102" s="9">
        <f t="shared" si="23"/>
        <v>0</v>
      </c>
      <c r="AL102" s="9">
        <f t="shared" si="23"/>
        <v>0</v>
      </c>
      <c r="AM102" s="10" t="str">
        <f t="shared" si="20"/>
        <v>18</v>
      </c>
      <c r="AO102" s="2" t="s">
        <v>10</v>
      </c>
      <c r="AT102" s="11">
        <f t="shared" si="21"/>
        <v>101</v>
      </c>
      <c r="AU102" s="12" t="str">
        <f t="shared" si="22"/>
        <v/>
      </c>
    </row>
    <row r="103" spans="15:47" ht="18" customHeight="1">
      <c r="O103" s="2" t="str">
        <f t="shared" si="25"/>
        <v>STAGE 1 洞窟データ</v>
      </c>
      <c r="X103" s="7" t="str">
        <f t="shared" si="15"/>
        <v>C028</v>
      </c>
      <c r="Y103" s="13"/>
      <c r="Z103" s="9" t="str">
        <f t="shared" si="16"/>
        <v>:00</v>
      </c>
      <c r="AB103" s="6">
        <f t="shared" si="17"/>
        <v>8</v>
      </c>
      <c r="AC103" s="6">
        <f t="shared" si="18"/>
        <v>192</v>
      </c>
      <c r="AD103" s="6">
        <f t="shared" si="19"/>
        <v>40</v>
      </c>
      <c r="AE103" s="9">
        <f t="shared" si="24"/>
        <v>0</v>
      </c>
      <c r="AF103" s="9">
        <f t="shared" si="24"/>
        <v>0</v>
      </c>
      <c r="AG103" s="9">
        <f t="shared" si="24"/>
        <v>0</v>
      </c>
      <c r="AH103" s="9">
        <f t="shared" si="23"/>
        <v>0</v>
      </c>
      <c r="AI103" s="9">
        <f t="shared" si="23"/>
        <v>0</v>
      </c>
      <c r="AJ103" s="9">
        <f t="shared" si="23"/>
        <v>0</v>
      </c>
      <c r="AK103" s="9">
        <f t="shared" si="23"/>
        <v>0</v>
      </c>
      <c r="AL103" s="9">
        <f t="shared" si="23"/>
        <v>0</v>
      </c>
      <c r="AM103" s="10" t="str">
        <f t="shared" si="20"/>
        <v>10</v>
      </c>
      <c r="AO103" s="2" t="s">
        <v>10</v>
      </c>
      <c r="AT103" s="11">
        <f t="shared" si="21"/>
        <v>102</v>
      </c>
      <c r="AU103" s="12" t="str">
        <f t="shared" si="22"/>
        <v/>
      </c>
    </row>
    <row r="104" spans="15:47" ht="18" customHeight="1">
      <c r="O104" s="2" t="str">
        <f t="shared" si="25"/>
        <v>STAGE 1 洞窟データ</v>
      </c>
      <c r="X104" s="7" t="str">
        <f t="shared" si="15"/>
        <v>C030</v>
      </c>
      <c r="Y104" s="13"/>
      <c r="Z104" s="9" t="str">
        <f t="shared" si="16"/>
        <v>:00</v>
      </c>
      <c r="AB104" s="6">
        <f t="shared" si="17"/>
        <v>8</v>
      </c>
      <c r="AC104" s="6">
        <f t="shared" si="18"/>
        <v>192</v>
      </c>
      <c r="AD104" s="6">
        <f t="shared" si="19"/>
        <v>48</v>
      </c>
      <c r="AE104" s="9">
        <f t="shared" si="24"/>
        <v>0</v>
      </c>
      <c r="AF104" s="9">
        <f t="shared" si="24"/>
        <v>0</v>
      </c>
      <c r="AG104" s="9">
        <f t="shared" si="24"/>
        <v>0</v>
      </c>
      <c r="AH104" s="9">
        <f t="shared" si="23"/>
        <v>0</v>
      </c>
      <c r="AI104" s="9">
        <f t="shared" si="23"/>
        <v>0</v>
      </c>
      <c r="AJ104" s="9">
        <f t="shared" si="23"/>
        <v>0</v>
      </c>
      <c r="AK104" s="9">
        <f t="shared" si="23"/>
        <v>0</v>
      </c>
      <c r="AL104" s="9">
        <f t="shared" si="23"/>
        <v>0</v>
      </c>
      <c r="AM104" s="10" t="str">
        <f t="shared" si="20"/>
        <v>08</v>
      </c>
      <c r="AO104" s="2" t="s">
        <v>10</v>
      </c>
      <c r="AT104" s="11">
        <f t="shared" si="21"/>
        <v>103</v>
      </c>
      <c r="AU104" s="12" t="str">
        <f t="shared" si="22"/>
        <v/>
      </c>
    </row>
    <row r="105" spans="15:47" ht="18" customHeight="1">
      <c r="O105" s="2" t="str">
        <f t="shared" si="25"/>
        <v>STAGE 1 洞窟データ</v>
      </c>
      <c r="X105" s="7" t="str">
        <f t="shared" si="15"/>
        <v>C038</v>
      </c>
      <c r="Y105" s="13"/>
      <c r="Z105" s="9" t="str">
        <f t="shared" si="16"/>
        <v>:00</v>
      </c>
      <c r="AB105" s="6">
        <f t="shared" si="17"/>
        <v>8</v>
      </c>
      <c r="AC105" s="6">
        <f t="shared" si="18"/>
        <v>192</v>
      </c>
      <c r="AD105" s="6">
        <f t="shared" si="19"/>
        <v>56</v>
      </c>
      <c r="AE105" s="9">
        <f t="shared" si="24"/>
        <v>0</v>
      </c>
      <c r="AF105" s="9">
        <f t="shared" si="24"/>
        <v>0</v>
      </c>
      <c r="AG105" s="9">
        <f t="shared" si="24"/>
        <v>0</v>
      </c>
      <c r="AH105" s="9">
        <f t="shared" si="23"/>
        <v>0</v>
      </c>
      <c r="AI105" s="9">
        <f t="shared" si="23"/>
        <v>0</v>
      </c>
      <c r="AJ105" s="9">
        <f t="shared" si="23"/>
        <v>0</v>
      </c>
      <c r="AK105" s="9">
        <f t="shared" si="23"/>
        <v>0</v>
      </c>
      <c r="AL105" s="9">
        <f t="shared" si="23"/>
        <v>0</v>
      </c>
      <c r="AM105" s="10" t="str">
        <f t="shared" si="20"/>
        <v>00</v>
      </c>
      <c r="AO105" s="2" t="s">
        <v>10</v>
      </c>
      <c r="AT105" s="11">
        <f t="shared" si="21"/>
        <v>104</v>
      </c>
      <c r="AU105" s="12" t="str">
        <f t="shared" si="22"/>
        <v/>
      </c>
    </row>
    <row r="106" spans="15:47" ht="18" customHeight="1">
      <c r="O106" s="2" t="str">
        <f t="shared" si="25"/>
        <v>STAGE 1 洞窟データ</v>
      </c>
      <c r="X106" s="7" t="str">
        <f t="shared" si="15"/>
        <v>C040</v>
      </c>
      <c r="Y106" s="13"/>
      <c r="Z106" s="9" t="str">
        <f t="shared" si="16"/>
        <v>:00</v>
      </c>
      <c r="AB106" s="6">
        <f t="shared" si="17"/>
        <v>8</v>
      </c>
      <c r="AC106" s="6">
        <f t="shared" si="18"/>
        <v>192</v>
      </c>
      <c r="AD106" s="6">
        <f t="shared" si="19"/>
        <v>64</v>
      </c>
      <c r="AE106" s="9">
        <f t="shared" si="24"/>
        <v>0</v>
      </c>
      <c r="AF106" s="9">
        <f t="shared" si="24"/>
        <v>0</v>
      </c>
      <c r="AG106" s="9">
        <f t="shared" si="24"/>
        <v>0</v>
      </c>
      <c r="AH106" s="9">
        <f t="shared" si="23"/>
        <v>0</v>
      </c>
      <c r="AI106" s="9">
        <f t="shared" si="23"/>
        <v>0</v>
      </c>
      <c r="AJ106" s="9">
        <f t="shared" si="23"/>
        <v>0</v>
      </c>
      <c r="AK106" s="9">
        <f t="shared" si="23"/>
        <v>0</v>
      </c>
      <c r="AL106" s="9">
        <f t="shared" si="23"/>
        <v>0</v>
      </c>
      <c r="AM106" s="10" t="str">
        <f t="shared" si="20"/>
        <v>F8</v>
      </c>
      <c r="AO106" s="2" t="s">
        <v>10</v>
      </c>
      <c r="AT106" s="11">
        <f t="shared" si="21"/>
        <v>105</v>
      </c>
      <c r="AU106" s="12" t="str">
        <f t="shared" si="22"/>
        <v/>
      </c>
    </row>
    <row r="107" spans="15:47" ht="18" customHeight="1">
      <c r="O107" s="2" t="str">
        <f t="shared" si="25"/>
        <v>STAGE 1 洞窟データ</v>
      </c>
      <c r="X107" s="7" t="str">
        <f t="shared" si="15"/>
        <v>C048</v>
      </c>
      <c r="Y107" s="13"/>
      <c r="Z107" s="9" t="str">
        <f t="shared" si="16"/>
        <v>:00</v>
      </c>
      <c r="AB107" s="6">
        <f t="shared" si="17"/>
        <v>8</v>
      </c>
      <c r="AC107" s="6">
        <f t="shared" si="18"/>
        <v>192</v>
      </c>
      <c r="AD107" s="6">
        <f t="shared" si="19"/>
        <v>72</v>
      </c>
      <c r="AE107" s="9">
        <f t="shared" si="24"/>
        <v>0</v>
      </c>
      <c r="AF107" s="9">
        <f t="shared" si="24"/>
        <v>0</v>
      </c>
      <c r="AG107" s="9">
        <f t="shared" si="24"/>
        <v>0</v>
      </c>
      <c r="AH107" s="9">
        <f t="shared" si="23"/>
        <v>0</v>
      </c>
      <c r="AI107" s="9">
        <f t="shared" si="23"/>
        <v>0</v>
      </c>
      <c r="AJ107" s="9">
        <f t="shared" si="23"/>
        <v>0</v>
      </c>
      <c r="AK107" s="9">
        <f t="shared" si="23"/>
        <v>0</v>
      </c>
      <c r="AL107" s="9">
        <f t="shared" si="23"/>
        <v>0</v>
      </c>
      <c r="AM107" s="10" t="str">
        <f t="shared" si="20"/>
        <v>F0</v>
      </c>
      <c r="AO107" s="2" t="s">
        <v>10</v>
      </c>
      <c r="AT107" s="11">
        <f t="shared" si="21"/>
        <v>106</v>
      </c>
      <c r="AU107" s="12" t="str">
        <f t="shared" si="22"/>
        <v/>
      </c>
    </row>
    <row r="108" spans="15:47" ht="18" customHeight="1">
      <c r="O108" s="2" t="str">
        <f t="shared" si="25"/>
        <v>STAGE 1 洞窟データ</v>
      </c>
      <c r="X108" s="7" t="str">
        <f t="shared" si="15"/>
        <v>C050</v>
      </c>
      <c r="Y108" s="13"/>
      <c r="Z108" s="9" t="str">
        <f t="shared" si="16"/>
        <v>:00</v>
      </c>
      <c r="AB108" s="6">
        <f t="shared" si="17"/>
        <v>8</v>
      </c>
      <c r="AC108" s="6">
        <f t="shared" si="18"/>
        <v>192</v>
      </c>
      <c r="AD108" s="6">
        <f t="shared" si="19"/>
        <v>80</v>
      </c>
      <c r="AE108" s="9">
        <f t="shared" si="24"/>
        <v>0</v>
      </c>
      <c r="AF108" s="9">
        <f t="shared" si="24"/>
        <v>0</v>
      </c>
      <c r="AG108" s="9">
        <f t="shared" si="24"/>
        <v>0</v>
      </c>
      <c r="AH108" s="9">
        <f t="shared" si="23"/>
        <v>0</v>
      </c>
      <c r="AI108" s="9">
        <f t="shared" si="23"/>
        <v>0</v>
      </c>
      <c r="AJ108" s="9">
        <f t="shared" si="23"/>
        <v>0</v>
      </c>
      <c r="AK108" s="9">
        <f t="shared" si="23"/>
        <v>0</v>
      </c>
      <c r="AL108" s="9">
        <f t="shared" si="23"/>
        <v>0</v>
      </c>
      <c r="AM108" s="10" t="str">
        <f t="shared" si="20"/>
        <v>E8</v>
      </c>
      <c r="AO108" s="2" t="s">
        <v>10</v>
      </c>
      <c r="AT108" s="11">
        <f t="shared" si="21"/>
        <v>107</v>
      </c>
      <c r="AU108" s="12" t="str">
        <f t="shared" si="22"/>
        <v/>
      </c>
    </row>
    <row r="109" spans="15:47" ht="18" customHeight="1">
      <c r="O109" s="2" t="str">
        <f t="shared" si="25"/>
        <v>STAGE 1 洞窟データ</v>
      </c>
      <c r="X109" s="7" t="str">
        <f t="shared" si="15"/>
        <v>C058</v>
      </c>
      <c r="Y109" s="13"/>
      <c r="Z109" s="9" t="str">
        <f t="shared" si="16"/>
        <v>:00</v>
      </c>
      <c r="AB109" s="6">
        <f t="shared" si="17"/>
        <v>8</v>
      </c>
      <c r="AC109" s="6">
        <f t="shared" si="18"/>
        <v>192</v>
      </c>
      <c r="AD109" s="6">
        <f t="shared" si="19"/>
        <v>88</v>
      </c>
      <c r="AE109" s="9">
        <f t="shared" si="24"/>
        <v>0</v>
      </c>
      <c r="AF109" s="9">
        <f t="shared" si="24"/>
        <v>0</v>
      </c>
      <c r="AG109" s="9">
        <f t="shared" si="24"/>
        <v>0</v>
      </c>
      <c r="AH109" s="9">
        <f t="shared" si="23"/>
        <v>0</v>
      </c>
      <c r="AI109" s="9">
        <f t="shared" si="23"/>
        <v>0</v>
      </c>
      <c r="AJ109" s="9">
        <f t="shared" si="23"/>
        <v>0</v>
      </c>
      <c r="AK109" s="9">
        <f t="shared" si="23"/>
        <v>0</v>
      </c>
      <c r="AL109" s="9">
        <f t="shared" si="23"/>
        <v>0</v>
      </c>
      <c r="AM109" s="10" t="str">
        <f t="shared" si="20"/>
        <v>E0</v>
      </c>
      <c r="AO109" s="2" t="s">
        <v>10</v>
      </c>
      <c r="AT109" s="11">
        <f t="shared" si="21"/>
        <v>108</v>
      </c>
      <c r="AU109" s="12" t="str">
        <f t="shared" si="22"/>
        <v/>
      </c>
    </row>
    <row r="110" spans="15:47" ht="18" customHeight="1">
      <c r="O110" s="2" t="str">
        <f t="shared" si="25"/>
        <v>STAGE 1 洞窟データ</v>
      </c>
      <c r="X110" s="7" t="str">
        <f t="shared" si="15"/>
        <v>C060</v>
      </c>
      <c r="Y110" s="13"/>
      <c r="Z110" s="9" t="str">
        <f t="shared" si="16"/>
        <v>:00</v>
      </c>
      <c r="AB110" s="6">
        <f t="shared" si="17"/>
        <v>8</v>
      </c>
      <c r="AC110" s="6">
        <f t="shared" si="18"/>
        <v>192</v>
      </c>
      <c r="AD110" s="6">
        <f t="shared" si="19"/>
        <v>96</v>
      </c>
      <c r="AE110" s="9">
        <f t="shared" si="24"/>
        <v>0</v>
      </c>
      <c r="AF110" s="9">
        <f t="shared" si="24"/>
        <v>0</v>
      </c>
      <c r="AG110" s="9">
        <f t="shared" si="24"/>
        <v>0</v>
      </c>
      <c r="AH110" s="9">
        <f t="shared" si="23"/>
        <v>0</v>
      </c>
      <c r="AI110" s="9">
        <f t="shared" si="23"/>
        <v>0</v>
      </c>
      <c r="AJ110" s="9">
        <f t="shared" si="23"/>
        <v>0</v>
      </c>
      <c r="AK110" s="9">
        <f t="shared" si="23"/>
        <v>0</v>
      </c>
      <c r="AL110" s="9">
        <f t="shared" si="23"/>
        <v>0</v>
      </c>
      <c r="AM110" s="10" t="str">
        <f t="shared" si="20"/>
        <v>D8</v>
      </c>
      <c r="AO110" s="2" t="s">
        <v>10</v>
      </c>
      <c r="AT110" s="11">
        <f t="shared" si="21"/>
        <v>109</v>
      </c>
      <c r="AU110" s="12" t="str">
        <f t="shared" si="22"/>
        <v/>
      </c>
    </row>
    <row r="111" spans="15:47" ht="18" customHeight="1">
      <c r="O111" s="2" t="str">
        <f t="shared" si="25"/>
        <v>STAGE 1 洞窟データ</v>
      </c>
      <c r="X111" s="7" t="str">
        <f t="shared" si="15"/>
        <v>C068</v>
      </c>
      <c r="Y111" s="13"/>
      <c r="Z111" s="9" t="str">
        <f t="shared" si="16"/>
        <v>:00</v>
      </c>
      <c r="AB111" s="6">
        <f t="shared" si="17"/>
        <v>8</v>
      </c>
      <c r="AC111" s="6">
        <f t="shared" si="18"/>
        <v>192</v>
      </c>
      <c r="AD111" s="6">
        <f t="shared" si="19"/>
        <v>104</v>
      </c>
      <c r="AE111" s="9">
        <f t="shared" si="24"/>
        <v>0</v>
      </c>
      <c r="AF111" s="9">
        <f t="shared" si="24"/>
        <v>0</v>
      </c>
      <c r="AG111" s="9">
        <f t="shared" si="24"/>
        <v>0</v>
      </c>
      <c r="AH111" s="9">
        <f t="shared" si="23"/>
        <v>0</v>
      </c>
      <c r="AI111" s="9">
        <f t="shared" si="23"/>
        <v>0</v>
      </c>
      <c r="AJ111" s="9">
        <f t="shared" si="23"/>
        <v>0</v>
      </c>
      <c r="AK111" s="9">
        <f t="shared" si="23"/>
        <v>0</v>
      </c>
      <c r="AL111" s="9">
        <f t="shared" si="23"/>
        <v>0</v>
      </c>
      <c r="AM111" s="10" t="str">
        <f t="shared" si="20"/>
        <v>D0</v>
      </c>
      <c r="AO111" s="2" t="s">
        <v>10</v>
      </c>
      <c r="AT111" s="11">
        <f t="shared" si="21"/>
        <v>110</v>
      </c>
      <c r="AU111" s="12" t="str">
        <f t="shared" si="22"/>
        <v/>
      </c>
    </row>
    <row r="112" spans="15:47" ht="18" customHeight="1">
      <c r="O112" s="2" t="str">
        <f t="shared" si="25"/>
        <v>STAGE 1 洞窟データ</v>
      </c>
      <c r="X112" s="7" t="str">
        <f t="shared" si="15"/>
        <v>C070</v>
      </c>
      <c r="Y112" s="13"/>
      <c r="Z112" s="9" t="str">
        <f t="shared" si="16"/>
        <v>:00</v>
      </c>
      <c r="AB112" s="6">
        <f t="shared" si="17"/>
        <v>8</v>
      </c>
      <c r="AC112" s="6">
        <f t="shared" si="18"/>
        <v>192</v>
      </c>
      <c r="AD112" s="6">
        <f t="shared" si="19"/>
        <v>112</v>
      </c>
      <c r="AE112" s="9">
        <f t="shared" si="24"/>
        <v>0</v>
      </c>
      <c r="AF112" s="9">
        <f t="shared" si="24"/>
        <v>0</v>
      </c>
      <c r="AG112" s="9">
        <f t="shared" si="24"/>
        <v>0</v>
      </c>
      <c r="AH112" s="9">
        <f t="shared" si="23"/>
        <v>0</v>
      </c>
      <c r="AI112" s="9">
        <f t="shared" si="23"/>
        <v>0</v>
      </c>
      <c r="AJ112" s="9">
        <f t="shared" si="23"/>
        <v>0</v>
      </c>
      <c r="AK112" s="9">
        <f t="shared" si="23"/>
        <v>0</v>
      </c>
      <c r="AL112" s="9">
        <f t="shared" si="23"/>
        <v>0</v>
      </c>
      <c r="AM112" s="10" t="str">
        <f t="shared" si="20"/>
        <v>C8</v>
      </c>
      <c r="AO112" s="2" t="s">
        <v>10</v>
      </c>
      <c r="AT112" s="11">
        <f t="shared" si="21"/>
        <v>111</v>
      </c>
      <c r="AU112" s="12" t="str">
        <f t="shared" si="22"/>
        <v/>
      </c>
    </row>
    <row r="113" spans="15:47" ht="18" customHeight="1">
      <c r="O113" s="2" t="str">
        <f t="shared" si="25"/>
        <v>STAGE 1 洞窟データ</v>
      </c>
      <c r="X113" s="7" t="str">
        <f t="shared" si="15"/>
        <v>C078</v>
      </c>
      <c r="Y113" s="13"/>
      <c r="Z113" s="9" t="str">
        <f t="shared" si="16"/>
        <v>:00</v>
      </c>
      <c r="AB113" s="6">
        <f t="shared" si="17"/>
        <v>8</v>
      </c>
      <c r="AC113" s="6">
        <f t="shared" si="18"/>
        <v>192</v>
      </c>
      <c r="AD113" s="6">
        <f t="shared" si="19"/>
        <v>120</v>
      </c>
      <c r="AE113" s="9">
        <f t="shared" si="24"/>
        <v>0</v>
      </c>
      <c r="AF113" s="9">
        <f t="shared" si="24"/>
        <v>0</v>
      </c>
      <c r="AG113" s="9">
        <f t="shared" si="24"/>
        <v>0</v>
      </c>
      <c r="AH113" s="9">
        <f t="shared" si="23"/>
        <v>0</v>
      </c>
      <c r="AI113" s="9">
        <f t="shared" si="23"/>
        <v>0</v>
      </c>
      <c r="AJ113" s="9">
        <f t="shared" si="23"/>
        <v>0</v>
      </c>
      <c r="AK113" s="9">
        <f t="shared" si="23"/>
        <v>0</v>
      </c>
      <c r="AL113" s="9">
        <f t="shared" si="23"/>
        <v>0</v>
      </c>
      <c r="AM113" s="10" t="str">
        <f t="shared" si="20"/>
        <v>C0</v>
      </c>
      <c r="AO113" s="2" t="s">
        <v>10</v>
      </c>
      <c r="AT113" s="11">
        <f t="shared" si="21"/>
        <v>112</v>
      </c>
      <c r="AU113" s="12" t="str">
        <f t="shared" si="22"/>
        <v/>
      </c>
    </row>
    <row r="114" spans="15:47" ht="18" customHeight="1">
      <c r="O114" s="2" t="str">
        <f t="shared" si="25"/>
        <v>STAGE 1 洞窟データ</v>
      </c>
      <c r="X114" s="7" t="str">
        <f t="shared" si="15"/>
        <v>C080</v>
      </c>
      <c r="Y114" s="13"/>
      <c r="Z114" s="9" t="str">
        <f t="shared" si="16"/>
        <v>:00</v>
      </c>
      <c r="AB114" s="6">
        <f t="shared" si="17"/>
        <v>8</v>
      </c>
      <c r="AC114" s="6">
        <f t="shared" si="18"/>
        <v>192</v>
      </c>
      <c r="AD114" s="6">
        <f t="shared" si="19"/>
        <v>128</v>
      </c>
      <c r="AE114" s="9">
        <f t="shared" si="24"/>
        <v>0</v>
      </c>
      <c r="AF114" s="9">
        <f t="shared" si="24"/>
        <v>0</v>
      </c>
      <c r="AG114" s="9">
        <f t="shared" si="24"/>
        <v>0</v>
      </c>
      <c r="AH114" s="9">
        <f t="shared" si="23"/>
        <v>0</v>
      </c>
      <c r="AI114" s="9">
        <f t="shared" si="23"/>
        <v>0</v>
      </c>
      <c r="AJ114" s="9">
        <f t="shared" si="23"/>
        <v>0</v>
      </c>
      <c r="AK114" s="9">
        <f t="shared" si="23"/>
        <v>0</v>
      </c>
      <c r="AL114" s="9">
        <f t="shared" si="23"/>
        <v>0</v>
      </c>
      <c r="AM114" s="10" t="str">
        <f t="shared" si="20"/>
        <v>B8</v>
      </c>
      <c r="AO114" s="2" t="s">
        <v>10</v>
      </c>
      <c r="AT114" s="11">
        <f t="shared" si="21"/>
        <v>113</v>
      </c>
      <c r="AU114" s="12" t="str">
        <f t="shared" si="22"/>
        <v/>
      </c>
    </row>
    <row r="115" spans="15:47" ht="18" customHeight="1">
      <c r="O115" s="2" t="str">
        <f t="shared" si="25"/>
        <v>STAGE 1 洞窟データ</v>
      </c>
      <c r="X115" s="7" t="str">
        <f t="shared" si="15"/>
        <v>C088</v>
      </c>
      <c r="Y115" s="13"/>
      <c r="Z115" s="9" t="str">
        <f t="shared" si="16"/>
        <v>:00</v>
      </c>
      <c r="AB115" s="6">
        <f t="shared" si="17"/>
        <v>8</v>
      </c>
      <c r="AC115" s="6">
        <f t="shared" si="18"/>
        <v>192</v>
      </c>
      <c r="AD115" s="6">
        <f t="shared" si="19"/>
        <v>136</v>
      </c>
      <c r="AE115" s="9">
        <f t="shared" si="24"/>
        <v>0</v>
      </c>
      <c r="AF115" s="9">
        <f t="shared" si="24"/>
        <v>0</v>
      </c>
      <c r="AG115" s="9">
        <f t="shared" si="24"/>
        <v>0</v>
      </c>
      <c r="AH115" s="9">
        <f t="shared" si="23"/>
        <v>0</v>
      </c>
      <c r="AI115" s="9">
        <f t="shared" si="23"/>
        <v>0</v>
      </c>
      <c r="AJ115" s="9">
        <f t="shared" si="23"/>
        <v>0</v>
      </c>
      <c r="AK115" s="9">
        <f t="shared" si="23"/>
        <v>0</v>
      </c>
      <c r="AL115" s="9">
        <f t="shared" si="23"/>
        <v>0</v>
      </c>
      <c r="AM115" s="10" t="str">
        <f t="shared" si="20"/>
        <v>B0</v>
      </c>
      <c r="AO115" s="2" t="s">
        <v>10</v>
      </c>
      <c r="AT115" s="11">
        <f t="shared" si="21"/>
        <v>114</v>
      </c>
      <c r="AU115" s="12" t="str">
        <f t="shared" si="22"/>
        <v/>
      </c>
    </row>
    <row r="116" spans="15:47" ht="18" customHeight="1">
      <c r="O116" s="2" t="str">
        <f t="shared" si="25"/>
        <v>STAGE 1 洞窟データ</v>
      </c>
      <c r="X116" s="7" t="str">
        <f t="shared" si="15"/>
        <v>C090</v>
      </c>
      <c r="Y116" s="13"/>
      <c r="Z116" s="9" t="str">
        <f t="shared" si="16"/>
        <v>:00</v>
      </c>
      <c r="AB116" s="6">
        <f t="shared" si="17"/>
        <v>8</v>
      </c>
      <c r="AC116" s="6">
        <f t="shared" si="18"/>
        <v>192</v>
      </c>
      <c r="AD116" s="6">
        <f t="shared" si="19"/>
        <v>144</v>
      </c>
      <c r="AE116" s="9">
        <f t="shared" si="24"/>
        <v>0</v>
      </c>
      <c r="AF116" s="9">
        <f t="shared" si="24"/>
        <v>0</v>
      </c>
      <c r="AG116" s="9">
        <f t="shared" si="24"/>
        <v>0</v>
      </c>
      <c r="AH116" s="9">
        <f t="shared" si="23"/>
        <v>0</v>
      </c>
      <c r="AI116" s="9">
        <f t="shared" si="23"/>
        <v>0</v>
      </c>
      <c r="AJ116" s="9">
        <f t="shared" si="23"/>
        <v>0</v>
      </c>
      <c r="AK116" s="9">
        <f t="shared" si="23"/>
        <v>0</v>
      </c>
      <c r="AL116" s="9">
        <f t="shared" si="23"/>
        <v>0</v>
      </c>
      <c r="AM116" s="10" t="str">
        <f t="shared" si="20"/>
        <v>A8</v>
      </c>
      <c r="AO116" s="2" t="s">
        <v>10</v>
      </c>
      <c r="AT116" s="11">
        <f t="shared" si="21"/>
        <v>115</v>
      </c>
      <c r="AU116" s="12" t="str">
        <f t="shared" si="22"/>
        <v/>
      </c>
    </row>
    <row r="117" spans="15:47" ht="18" customHeight="1">
      <c r="O117" s="2" t="str">
        <f t="shared" si="25"/>
        <v>STAGE 1 洞窟データ</v>
      </c>
      <c r="X117" s="7" t="str">
        <f t="shared" si="15"/>
        <v>C098</v>
      </c>
      <c r="Y117" s="13"/>
      <c r="Z117" s="9" t="str">
        <f t="shared" si="16"/>
        <v>:00</v>
      </c>
      <c r="AB117" s="6">
        <f t="shared" si="17"/>
        <v>8</v>
      </c>
      <c r="AC117" s="6">
        <f t="shared" si="18"/>
        <v>192</v>
      </c>
      <c r="AD117" s="6">
        <f t="shared" si="19"/>
        <v>152</v>
      </c>
      <c r="AE117" s="9">
        <f t="shared" si="24"/>
        <v>0</v>
      </c>
      <c r="AF117" s="9">
        <f t="shared" si="24"/>
        <v>0</v>
      </c>
      <c r="AG117" s="9">
        <f t="shared" si="24"/>
        <v>0</v>
      </c>
      <c r="AH117" s="9">
        <f t="shared" si="23"/>
        <v>0</v>
      </c>
      <c r="AI117" s="9">
        <f t="shared" si="23"/>
        <v>0</v>
      </c>
      <c r="AJ117" s="9">
        <f t="shared" si="23"/>
        <v>0</v>
      </c>
      <c r="AK117" s="9">
        <f t="shared" si="23"/>
        <v>0</v>
      </c>
      <c r="AL117" s="9">
        <f t="shared" si="23"/>
        <v>0</v>
      </c>
      <c r="AM117" s="10" t="str">
        <f t="shared" si="20"/>
        <v>A0</v>
      </c>
      <c r="AO117" s="2" t="s">
        <v>10</v>
      </c>
      <c r="AT117" s="11">
        <f t="shared" si="21"/>
        <v>116</v>
      </c>
      <c r="AU117" s="12" t="str">
        <f t="shared" si="22"/>
        <v/>
      </c>
    </row>
    <row r="118" spans="15:47" ht="18" customHeight="1">
      <c r="O118" s="2" t="str">
        <f t="shared" si="25"/>
        <v>STAGE 1 洞窟データ</v>
      </c>
      <c r="X118" s="7" t="str">
        <f t="shared" si="15"/>
        <v>C0A0</v>
      </c>
      <c r="Y118" s="13"/>
      <c r="Z118" s="9" t="str">
        <f t="shared" si="16"/>
        <v>:00</v>
      </c>
      <c r="AB118" s="6">
        <f t="shared" si="17"/>
        <v>8</v>
      </c>
      <c r="AC118" s="6">
        <f t="shared" si="18"/>
        <v>192</v>
      </c>
      <c r="AD118" s="6">
        <f t="shared" si="19"/>
        <v>160</v>
      </c>
      <c r="AE118" s="9">
        <f t="shared" si="24"/>
        <v>0</v>
      </c>
      <c r="AF118" s="9">
        <f t="shared" si="24"/>
        <v>0</v>
      </c>
      <c r="AG118" s="9">
        <f t="shared" si="24"/>
        <v>0</v>
      </c>
      <c r="AH118" s="9">
        <f t="shared" si="23"/>
        <v>0</v>
      </c>
      <c r="AI118" s="9">
        <f t="shared" si="23"/>
        <v>0</v>
      </c>
      <c r="AJ118" s="9">
        <f t="shared" si="23"/>
        <v>0</v>
      </c>
      <c r="AK118" s="9">
        <f t="shared" si="23"/>
        <v>0</v>
      </c>
      <c r="AL118" s="9">
        <f t="shared" si="23"/>
        <v>0</v>
      </c>
      <c r="AM118" s="10" t="str">
        <f t="shared" si="20"/>
        <v>98</v>
      </c>
      <c r="AO118" s="2" t="s">
        <v>10</v>
      </c>
      <c r="AT118" s="11">
        <f t="shared" si="21"/>
        <v>117</v>
      </c>
      <c r="AU118" s="12" t="str">
        <f t="shared" si="22"/>
        <v/>
      </c>
    </row>
    <row r="119" spans="15:47" ht="18" customHeight="1">
      <c r="O119" s="2" t="str">
        <f t="shared" si="25"/>
        <v>STAGE 1 洞窟データ</v>
      </c>
      <c r="X119" s="7" t="str">
        <f t="shared" si="15"/>
        <v>C0A8</v>
      </c>
      <c r="Y119" s="13"/>
      <c r="Z119" s="9" t="str">
        <f t="shared" si="16"/>
        <v>:00</v>
      </c>
      <c r="AB119" s="6">
        <f t="shared" si="17"/>
        <v>8</v>
      </c>
      <c r="AC119" s="6">
        <f t="shared" si="18"/>
        <v>192</v>
      </c>
      <c r="AD119" s="6">
        <f t="shared" si="19"/>
        <v>168</v>
      </c>
      <c r="AE119" s="9">
        <f t="shared" si="24"/>
        <v>0</v>
      </c>
      <c r="AF119" s="9">
        <f t="shared" si="24"/>
        <v>0</v>
      </c>
      <c r="AG119" s="9">
        <f t="shared" si="24"/>
        <v>0</v>
      </c>
      <c r="AH119" s="9">
        <f t="shared" si="23"/>
        <v>0</v>
      </c>
      <c r="AI119" s="9">
        <f t="shared" si="23"/>
        <v>0</v>
      </c>
      <c r="AJ119" s="9">
        <f t="shared" si="23"/>
        <v>0</v>
      </c>
      <c r="AK119" s="9">
        <f t="shared" si="23"/>
        <v>0</v>
      </c>
      <c r="AL119" s="9">
        <f t="shared" si="23"/>
        <v>0</v>
      </c>
      <c r="AM119" s="10" t="str">
        <f t="shared" si="20"/>
        <v>90</v>
      </c>
      <c r="AO119" s="2" t="s">
        <v>10</v>
      </c>
      <c r="AT119" s="11">
        <f t="shared" si="21"/>
        <v>118</v>
      </c>
      <c r="AU119" s="12" t="str">
        <f t="shared" si="22"/>
        <v/>
      </c>
    </row>
    <row r="120" spans="15:47" ht="18" customHeight="1">
      <c r="O120" s="2" t="str">
        <f t="shared" si="25"/>
        <v>STAGE 1 洞窟データ</v>
      </c>
      <c r="X120" s="7" t="str">
        <f t="shared" si="15"/>
        <v>C0B0</v>
      </c>
      <c r="Y120" s="13"/>
      <c r="Z120" s="9" t="str">
        <f t="shared" si="16"/>
        <v>:00</v>
      </c>
      <c r="AB120" s="6">
        <f t="shared" si="17"/>
        <v>8</v>
      </c>
      <c r="AC120" s="6">
        <f t="shared" si="18"/>
        <v>192</v>
      </c>
      <c r="AD120" s="6">
        <f t="shared" si="19"/>
        <v>176</v>
      </c>
      <c r="AE120" s="9">
        <f t="shared" si="24"/>
        <v>0</v>
      </c>
      <c r="AF120" s="9">
        <f t="shared" si="24"/>
        <v>0</v>
      </c>
      <c r="AG120" s="9">
        <f t="shared" si="24"/>
        <v>0</v>
      </c>
      <c r="AH120" s="9">
        <f t="shared" si="23"/>
        <v>0</v>
      </c>
      <c r="AI120" s="9">
        <f t="shared" si="23"/>
        <v>0</v>
      </c>
      <c r="AJ120" s="9">
        <f t="shared" si="23"/>
        <v>0</v>
      </c>
      <c r="AK120" s="9">
        <f t="shared" si="23"/>
        <v>0</v>
      </c>
      <c r="AL120" s="9">
        <f t="shared" si="23"/>
        <v>0</v>
      </c>
      <c r="AM120" s="10" t="str">
        <f t="shared" si="20"/>
        <v>88</v>
      </c>
      <c r="AO120" s="2" t="s">
        <v>10</v>
      </c>
      <c r="AT120" s="11">
        <f t="shared" si="21"/>
        <v>119</v>
      </c>
      <c r="AU120" s="12" t="str">
        <f t="shared" si="22"/>
        <v/>
      </c>
    </row>
    <row r="121" spans="15:47" ht="18" customHeight="1">
      <c r="O121" s="2" t="str">
        <f t="shared" si="25"/>
        <v>STAGE 1 洞窟データ</v>
      </c>
      <c r="X121" s="7" t="str">
        <f t="shared" si="15"/>
        <v>C0B8</v>
      </c>
      <c r="Y121" s="13"/>
      <c r="Z121" s="9" t="str">
        <f t="shared" si="16"/>
        <v>:00</v>
      </c>
      <c r="AB121" s="6">
        <f t="shared" si="17"/>
        <v>8</v>
      </c>
      <c r="AC121" s="6">
        <f t="shared" si="18"/>
        <v>192</v>
      </c>
      <c r="AD121" s="6">
        <f t="shared" si="19"/>
        <v>184</v>
      </c>
      <c r="AE121" s="9">
        <f t="shared" si="24"/>
        <v>0</v>
      </c>
      <c r="AF121" s="9">
        <f t="shared" si="24"/>
        <v>0</v>
      </c>
      <c r="AG121" s="9">
        <f t="shared" si="24"/>
        <v>0</v>
      </c>
      <c r="AH121" s="9">
        <f t="shared" si="23"/>
        <v>0</v>
      </c>
      <c r="AI121" s="9">
        <f t="shared" si="23"/>
        <v>0</v>
      </c>
      <c r="AJ121" s="9">
        <f t="shared" si="23"/>
        <v>0</v>
      </c>
      <c r="AK121" s="9">
        <f t="shared" si="23"/>
        <v>0</v>
      </c>
      <c r="AL121" s="9">
        <f t="shared" si="23"/>
        <v>0</v>
      </c>
      <c r="AM121" s="10" t="str">
        <f t="shared" si="20"/>
        <v>80</v>
      </c>
      <c r="AO121" s="2" t="s">
        <v>10</v>
      </c>
      <c r="AT121" s="11">
        <f t="shared" si="21"/>
        <v>120</v>
      </c>
      <c r="AU121" s="12" t="str">
        <f t="shared" si="22"/>
        <v/>
      </c>
    </row>
    <row r="122" spans="15:47" ht="18" customHeight="1">
      <c r="O122" s="2" t="str">
        <f t="shared" si="25"/>
        <v>STAGE 1 洞窟データ</v>
      </c>
      <c r="X122" s="7" t="str">
        <f t="shared" si="15"/>
        <v>C0C0</v>
      </c>
      <c r="Y122" s="13"/>
      <c r="Z122" s="9" t="str">
        <f t="shared" si="16"/>
        <v>:00</v>
      </c>
      <c r="AB122" s="6">
        <f t="shared" si="17"/>
        <v>8</v>
      </c>
      <c r="AC122" s="6">
        <f t="shared" si="18"/>
        <v>192</v>
      </c>
      <c r="AD122" s="6">
        <f t="shared" si="19"/>
        <v>192</v>
      </c>
      <c r="AE122" s="9">
        <f t="shared" si="24"/>
        <v>0</v>
      </c>
      <c r="AF122" s="9">
        <f t="shared" si="24"/>
        <v>0</v>
      </c>
      <c r="AG122" s="9">
        <f t="shared" si="24"/>
        <v>0</v>
      </c>
      <c r="AH122" s="9">
        <f t="shared" si="23"/>
        <v>0</v>
      </c>
      <c r="AI122" s="9">
        <f t="shared" si="23"/>
        <v>0</v>
      </c>
      <c r="AJ122" s="9">
        <f t="shared" si="23"/>
        <v>0</v>
      </c>
      <c r="AK122" s="9">
        <f t="shared" si="23"/>
        <v>0</v>
      </c>
      <c r="AL122" s="9">
        <f t="shared" si="23"/>
        <v>0</v>
      </c>
      <c r="AM122" s="10" t="str">
        <f t="shared" si="20"/>
        <v>78</v>
      </c>
      <c r="AO122" s="2" t="s">
        <v>10</v>
      </c>
      <c r="AT122" s="11">
        <f t="shared" si="21"/>
        <v>121</v>
      </c>
      <c r="AU122" s="12" t="str">
        <f t="shared" si="22"/>
        <v/>
      </c>
    </row>
    <row r="123" spans="15:47" ht="18" customHeight="1">
      <c r="O123" s="2" t="str">
        <f t="shared" si="25"/>
        <v>STAGE 1 洞窟データ</v>
      </c>
      <c r="X123" s="7" t="str">
        <f t="shared" si="15"/>
        <v>C0C8</v>
      </c>
      <c r="Y123" s="13"/>
      <c r="Z123" s="9" t="str">
        <f t="shared" si="16"/>
        <v>:00</v>
      </c>
      <c r="AB123" s="6">
        <f t="shared" si="17"/>
        <v>8</v>
      </c>
      <c r="AC123" s="6">
        <f t="shared" si="18"/>
        <v>192</v>
      </c>
      <c r="AD123" s="6">
        <f t="shared" si="19"/>
        <v>200</v>
      </c>
      <c r="AE123" s="9">
        <f t="shared" si="24"/>
        <v>0</v>
      </c>
      <c r="AF123" s="9">
        <f t="shared" si="24"/>
        <v>0</v>
      </c>
      <c r="AG123" s="9">
        <f t="shared" si="24"/>
        <v>0</v>
      </c>
      <c r="AH123" s="9">
        <f t="shared" si="23"/>
        <v>0</v>
      </c>
      <c r="AI123" s="9">
        <f t="shared" si="23"/>
        <v>0</v>
      </c>
      <c r="AJ123" s="9">
        <f t="shared" si="23"/>
        <v>0</v>
      </c>
      <c r="AK123" s="9">
        <f t="shared" si="23"/>
        <v>0</v>
      </c>
      <c r="AL123" s="9">
        <f t="shared" si="23"/>
        <v>0</v>
      </c>
      <c r="AM123" s="10" t="str">
        <f t="shared" si="20"/>
        <v>70</v>
      </c>
      <c r="AO123" s="2" t="s">
        <v>10</v>
      </c>
      <c r="AT123" s="11">
        <f t="shared" si="21"/>
        <v>122</v>
      </c>
      <c r="AU123" s="12" t="str">
        <f t="shared" si="22"/>
        <v/>
      </c>
    </row>
    <row r="124" spans="15:47" ht="18" customHeight="1">
      <c r="O124" s="2" t="str">
        <f t="shared" si="25"/>
        <v>STAGE 1 洞窟データ</v>
      </c>
      <c r="X124" s="7" t="str">
        <f t="shared" si="15"/>
        <v>C0D0</v>
      </c>
      <c r="Y124" s="13"/>
      <c r="Z124" s="9" t="str">
        <f t="shared" si="16"/>
        <v>:00</v>
      </c>
      <c r="AB124" s="6">
        <f t="shared" si="17"/>
        <v>8</v>
      </c>
      <c r="AC124" s="6">
        <f t="shared" si="18"/>
        <v>192</v>
      </c>
      <c r="AD124" s="6">
        <f t="shared" si="19"/>
        <v>208</v>
      </c>
      <c r="AE124" s="9">
        <f t="shared" si="24"/>
        <v>0</v>
      </c>
      <c r="AF124" s="9">
        <f t="shared" si="24"/>
        <v>0</v>
      </c>
      <c r="AG124" s="9">
        <f t="shared" si="24"/>
        <v>0</v>
      </c>
      <c r="AH124" s="9">
        <f t="shared" si="23"/>
        <v>0</v>
      </c>
      <c r="AI124" s="9">
        <f t="shared" si="23"/>
        <v>0</v>
      </c>
      <c r="AJ124" s="9">
        <f t="shared" si="23"/>
        <v>0</v>
      </c>
      <c r="AK124" s="9">
        <f t="shared" si="23"/>
        <v>0</v>
      </c>
      <c r="AL124" s="9">
        <f t="shared" si="23"/>
        <v>0</v>
      </c>
      <c r="AM124" s="10" t="str">
        <f t="shared" si="20"/>
        <v>68</v>
      </c>
      <c r="AO124" s="2" t="s">
        <v>10</v>
      </c>
      <c r="AT124" s="11">
        <f t="shared" si="21"/>
        <v>123</v>
      </c>
      <c r="AU124" s="12" t="str">
        <f t="shared" si="22"/>
        <v/>
      </c>
    </row>
    <row r="125" spans="15:47" ht="18" customHeight="1">
      <c r="O125" s="2" t="str">
        <f t="shared" si="25"/>
        <v>STAGE 1 洞窟データ</v>
      </c>
      <c r="X125" s="7" t="str">
        <f t="shared" si="15"/>
        <v>C0D8</v>
      </c>
      <c r="Y125" s="13"/>
      <c r="Z125" s="9" t="str">
        <f t="shared" si="16"/>
        <v>:00</v>
      </c>
      <c r="AB125" s="6">
        <f t="shared" si="17"/>
        <v>8</v>
      </c>
      <c r="AC125" s="6">
        <f t="shared" si="18"/>
        <v>192</v>
      </c>
      <c r="AD125" s="6">
        <f t="shared" si="19"/>
        <v>216</v>
      </c>
      <c r="AE125" s="9">
        <f t="shared" si="24"/>
        <v>0</v>
      </c>
      <c r="AF125" s="9">
        <f t="shared" si="24"/>
        <v>0</v>
      </c>
      <c r="AG125" s="9">
        <f t="shared" si="24"/>
        <v>0</v>
      </c>
      <c r="AH125" s="9">
        <f t="shared" si="23"/>
        <v>0</v>
      </c>
      <c r="AI125" s="9">
        <f t="shared" si="23"/>
        <v>0</v>
      </c>
      <c r="AJ125" s="9">
        <f t="shared" si="23"/>
        <v>0</v>
      </c>
      <c r="AK125" s="9">
        <f t="shared" si="23"/>
        <v>0</v>
      </c>
      <c r="AL125" s="9">
        <f t="shared" si="23"/>
        <v>0</v>
      </c>
      <c r="AM125" s="10" t="str">
        <f t="shared" si="20"/>
        <v>60</v>
      </c>
      <c r="AO125" s="2" t="s">
        <v>10</v>
      </c>
      <c r="AT125" s="11">
        <f t="shared" si="21"/>
        <v>124</v>
      </c>
      <c r="AU125" s="12" t="str">
        <f t="shared" si="22"/>
        <v/>
      </c>
    </row>
    <row r="126" spans="15:47" ht="18" customHeight="1">
      <c r="O126" s="2" t="str">
        <f t="shared" si="25"/>
        <v>STAGE 1 洞窟データ</v>
      </c>
      <c r="X126" s="7" t="str">
        <f t="shared" si="15"/>
        <v>C0E0</v>
      </c>
      <c r="Y126" s="13"/>
      <c r="Z126" s="9" t="str">
        <f t="shared" si="16"/>
        <v>:00</v>
      </c>
      <c r="AB126" s="6">
        <f t="shared" si="17"/>
        <v>8</v>
      </c>
      <c r="AC126" s="6">
        <f t="shared" si="18"/>
        <v>192</v>
      </c>
      <c r="AD126" s="6">
        <f t="shared" si="19"/>
        <v>224</v>
      </c>
      <c r="AE126" s="9">
        <f t="shared" si="24"/>
        <v>0</v>
      </c>
      <c r="AF126" s="9">
        <f t="shared" si="24"/>
        <v>0</v>
      </c>
      <c r="AG126" s="9">
        <f t="shared" si="24"/>
        <v>0</v>
      </c>
      <c r="AH126" s="9">
        <f t="shared" si="23"/>
        <v>0</v>
      </c>
      <c r="AI126" s="9">
        <f t="shared" si="23"/>
        <v>0</v>
      </c>
      <c r="AJ126" s="9">
        <f t="shared" si="23"/>
        <v>0</v>
      </c>
      <c r="AK126" s="9">
        <f t="shared" si="23"/>
        <v>0</v>
      </c>
      <c r="AL126" s="9">
        <f t="shared" si="23"/>
        <v>0</v>
      </c>
      <c r="AM126" s="10" t="str">
        <f t="shared" si="20"/>
        <v>58</v>
      </c>
      <c r="AO126" s="2" t="s">
        <v>10</v>
      </c>
      <c r="AT126" s="11">
        <f t="shared" si="21"/>
        <v>125</v>
      </c>
      <c r="AU126" s="12" t="str">
        <f t="shared" si="22"/>
        <v/>
      </c>
    </row>
    <row r="127" spans="15:47" ht="18" customHeight="1">
      <c r="O127" s="2" t="str">
        <f t="shared" si="25"/>
        <v>STAGE 1 洞窟データ</v>
      </c>
      <c r="X127" s="7" t="str">
        <f t="shared" si="15"/>
        <v>C0E8</v>
      </c>
      <c r="Y127" s="13"/>
      <c r="Z127" s="9" t="str">
        <f t="shared" si="16"/>
        <v>:00</v>
      </c>
      <c r="AB127" s="6">
        <f t="shared" si="17"/>
        <v>8</v>
      </c>
      <c r="AC127" s="6">
        <f t="shared" si="18"/>
        <v>192</v>
      </c>
      <c r="AD127" s="6">
        <f t="shared" si="19"/>
        <v>232</v>
      </c>
      <c r="AE127" s="9">
        <f t="shared" si="24"/>
        <v>0</v>
      </c>
      <c r="AF127" s="9">
        <f t="shared" si="24"/>
        <v>0</v>
      </c>
      <c r="AG127" s="9">
        <f t="shared" si="24"/>
        <v>0</v>
      </c>
      <c r="AH127" s="9">
        <f t="shared" si="23"/>
        <v>0</v>
      </c>
      <c r="AI127" s="9">
        <f t="shared" si="23"/>
        <v>0</v>
      </c>
      <c r="AJ127" s="9">
        <f t="shared" si="23"/>
        <v>0</v>
      </c>
      <c r="AK127" s="9">
        <f t="shared" si="23"/>
        <v>0</v>
      </c>
      <c r="AL127" s="9">
        <f t="shared" si="23"/>
        <v>0</v>
      </c>
      <c r="AM127" s="10" t="str">
        <f t="shared" si="20"/>
        <v>50</v>
      </c>
      <c r="AO127" s="2" t="s">
        <v>10</v>
      </c>
      <c r="AT127" s="11">
        <f t="shared" si="21"/>
        <v>126</v>
      </c>
      <c r="AU127" s="12" t="str">
        <f t="shared" si="22"/>
        <v/>
      </c>
    </row>
    <row r="128" spans="15:47" ht="18" customHeight="1">
      <c r="O128" s="2" t="str">
        <f t="shared" si="25"/>
        <v>STAGE 1 洞窟データ</v>
      </c>
      <c r="X128" s="7" t="str">
        <f t="shared" si="15"/>
        <v>C0F0</v>
      </c>
      <c r="Y128" s="13"/>
      <c r="Z128" s="9" t="str">
        <f t="shared" si="16"/>
        <v>:00</v>
      </c>
      <c r="AB128" s="6">
        <f t="shared" si="17"/>
        <v>8</v>
      </c>
      <c r="AC128" s="6">
        <f t="shared" si="18"/>
        <v>192</v>
      </c>
      <c r="AD128" s="6">
        <f t="shared" si="19"/>
        <v>240</v>
      </c>
      <c r="AE128" s="9">
        <f t="shared" si="24"/>
        <v>0</v>
      </c>
      <c r="AF128" s="9">
        <f t="shared" si="24"/>
        <v>0</v>
      </c>
      <c r="AG128" s="9">
        <f t="shared" si="24"/>
        <v>0</v>
      </c>
      <c r="AH128" s="9">
        <f t="shared" si="24"/>
        <v>0</v>
      </c>
      <c r="AI128" s="9">
        <f t="shared" si="24"/>
        <v>0</v>
      </c>
      <c r="AJ128" s="9">
        <f t="shared" si="23"/>
        <v>0</v>
      </c>
      <c r="AK128" s="9">
        <f t="shared" si="23"/>
        <v>0</v>
      </c>
      <c r="AL128" s="9">
        <f t="shared" si="23"/>
        <v>0</v>
      </c>
      <c r="AM128" s="10" t="str">
        <f t="shared" si="20"/>
        <v>48</v>
      </c>
      <c r="AO128" s="2" t="s">
        <v>10</v>
      </c>
      <c r="AT128" s="11">
        <f t="shared" si="21"/>
        <v>127</v>
      </c>
      <c r="AU128" s="12" t="str">
        <f t="shared" si="22"/>
        <v/>
      </c>
    </row>
    <row r="129" spans="15:47" ht="18" customHeight="1">
      <c r="O129" s="2" t="str">
        <f t="shared" si="25"/>
        <v>STAGE 1 洞窟データ</v>
      </c>
      <c r="X129" s="7" t="str">
        <f t="shared" si="15"/>
        <v>C0F8</v>
      </c>
      <c r="Y129" s="13"/>
      <c r="Z129" s="9" t="str">
        <f t="shared" si="16"/>
        <v>:00</v>
      </c>
      <c r="AB129" s="6">
        <f t="shared" si="17"/>
        <v>8</v>
      </c>
      <c r="AC129" s="6">
        <f t="shared" si="18"/>
        <v>192</v>
      </c>
      <c r="AD129" s="6">
        <f t="shared" si="19"/>
        <v>248</v>
      </c>
      <c r="AE129" s="9">
        <f t="shared" si="24"/>
        <v>0</v>
      </c>
      <c r="AF129" s="9">
        <f t="shared" si="24"/>
        <v>0</v>
      </c>
      <c r="AG129" s="9">
        <f t="shared" si="24"/>
        <v>0</v>
      </c>
      <c r="AH129" s="9">
        <f t="shared" si="24"/>
        <v>0</v>
      </c>
      <c r="AI129" s="9">
        <f t="shared" si="24"/>
        <v>0</v>
      </c>
      <c r="AJ129" s="9">
        <f t="shared" si="23"/>
        <v>0</v>
      </c>
      <c r="AK129" s="9">
        <f t="shared" si="23"/>
        <v>0</v>
      </c>
      <c r="AL129" s="9">
        <f t="shared" si="23"/>
        <v>0</v>
      </c>
      <c r="AM129" s="10" t="str">
        <f t="shared" si="20"/>
        <v>40</v>
      </c>
      <c r="AO129" s="2" t="s">
        <v>10</v>
      </c>
      <c r="AT129" s="11">
        <f t="shared" si="21"/>
        <v>128</v>
      </c>
      <c r="AU129" s="12" t="str">
        <f t="shared" si="22"/>
        <v/>
      </c>
    </row>
    <row r="130" spans="15:47" ht="18" customHeight="1">
      <c r="O130" s="2" t="str">
        <f t="shared" ref="O130:O161" si="26">$A$10</f>
        <v>STAGE 4 洞窟データ</v>
      </c>
      <c r="X130" s="7" t="str">
        <f t="shared" si="15"/>
        <v>C100</v>
      </c>
      <c r="Y130" s="13"/>
      <c r="Z130" s="9" t="str">
        <f t="shared" si="16"/>
        <v>:00</v>
      </c>
      <c r="AB130" s="6">
        <f t="shared" si="17"/>
        <v>8</v>
      </c>
      <c r="AC130" s="6">
        <f t="shared" si="18"/>
        <v>193</v>
      </c>
      <c r="AD130" s="6">
        <f t="shared" si="19"/>
        <v>0</v>
      </c>
      <c r="AE130" s="9">
        <f t="shared" si="24"/>
        <v>0</v>
      </c>
      <c r="AF130" s="9">
        <f t="shared" si="24"/>
        <v>0</v>
      </c>
      <c r="AG130" s="9">
        <f t="shared" si="24"/>
        <v>0</v>
      </c>
      <c r="AH130" s="9">
        <f t="shared" si="24"/>
        <v>0</v>
      </c>
      <c r="AI130" s="9">
        <f t="shared" si="24"/>
        <v>0</v>
      </c>
      <c r="AJ130" s="9">
        <f t="shared" si="23"/>
        <v>0</v>
      </c>
      <c r="AK130" s="9">
        <f t="shared" si="23"/>
        <v>0</v>
      </c>
      <c r="AL130" s="9">
        <f t="shared" si="23"/>
        <v>0</v>
      </c>
      <c r="AM130" s="10" t="str">
        <f t="shared" si="20"/>
        <v>37</v>
      </c>
      <c r="AO130" s="2" t="s">
        <v>10</v>
      </c>
      <c r="AT130" s="11">
        <f t="shared" si="21"/>
        <v>129</v>
      </c>
      <c r="AU130" s="12" t="str">
        <f t="shared" si="22"/>
        <v/>
      </c>
    </row>
    <row r="131" spans="15:47" ht="18" customHeight="1">
      <c r="O131" s="2" t="str">
        <f t="shared" si="26"/>
        <v>STAGE 4 洞窟データ</v>
      </c>
      <c r="X131" s="7" t="str">
        <f t="shared" ref="X131:X194" si="27">DEC2HEX(AC131,2)&amp;DEC2HEX(AD131,2)</f>
        <v>C108</v>
      </c>
      <c r="Y131" s="13"/>
      <c r="Z131" s="9" t="str">
        <f t="shared" ref="Z131:Z194" si="28">":" &amp; RIGHT(DEC2HEX(SUM(AE131:AL131),3),2)</f>
        <v>:00</v>
      </c>
      <c r="AB131" s="6">
        <f t="shared" ref="AB131:AB194" si="29">$E$2</f>
        <v>8</v>
      </c>
      <c r="AC131" s="6">
        <f t="shared" ref="AC131:AC194" si="30">HEX2DEC(LEFT(DEC2HEX(HEX2DEC($E$3)+(ROW($AC131)-ROW($AC$2))*$E$2,4),2))</f>
        <v>193</v>
      </c>
      <c r="AD131" s="6">
        <f t="shared" ref="AD131:AD194" si="31">HEX2DEC(MID(DEC2HEX(HEX2DEC($E$3)+(ROW($AD131)-ROW($AD$2))*$E$2,4),3,2))</f>
        <v>8</v>
      </c>
      <c r="AE131" s="9">
        <f t="shared" si="24"/>
        <v>0</v>
      </c>
      <c r="AF131" s="9">
        <f t="shared" si="24"/>
        <v>0</v>
      </c>
      <c r="AG131" s="9">
        <f t="shared" si="24"/>
        <v>0</v>
      </c>
      <c r="AH131" s="9">
        <f t="shared" si="24"/>
        <v>0</v>
      </c>
      <c r="AI131" s="9">
        <f t="shared" si="24"/>
        <v>0</v>
      </c>
      <c r="AJ131" s="9">
        <f t="shared" si="23"/>
        <v>0</v>
      </c>
      <c r="AK131" s="9">
        <f t="shared" si="23"/>
        <v>0</v>
      </c>
      <c r="AL131" s="9">
        <f t="shared" si="23"/>
        <v>0</v>
      </c>
      <c r="AM131" s="10" t="str">
        <f t="shared" ref="AM131:AM194" si="32">RIGHT(DEC2HEX(256-MOD(SUM(AB131:AL131),256),3),2)</f>
        <v>2F</v>
      </c>
      <c r="AO131" s="2" t="s">
        <v>10</v>
      </c>
      <c r="AT131" s="11">
        <f t="shared" ref="AT131:AT194" si="33">AT130+1</f>
        <v>130</v>
      </c>
      <c r="AU131" s="12" t="str">
        <f t="shared" ref="AU131:AU194" si="34">IF(TRIM(Y131)="","",":"&amp;DEC2HEX(AB131,2)&amp;DEC2HEX(AC131,2)&amp;DEC2HEX(AD131,2)&amp;"00"&amp;DEC2HEX(AE131,2)&amp;DEC2HEX(AF131,2)&amp;DEC2HEX(AG131,2)&amp;DEC2HEX(AH131,2)&amp;DEC2HEX(AI131,2)&amp;DEC2HEX(AJ131,2)&amp;DEC2HEX(AK131,2)&amp;DEC2HEX(AL131,2)&amp;AM131)</f>
        <v/>
      </c>
    </row>
    <row r="132" spans="15:47" ht="18" customHeight="1">
      <c r="O132" s="2" t="str">
        <f t="shared" si="26"/>
        <v>STAGE 4 洞窟データ</v>
      </c>
      <c r="X132" s="7" t="str">
        <f t="shared" si="27"/>
        <v>C110</v>
      </c>
      <c r="Y132" s="13"/>
      <c r="Z132" s="9" t="str">
        <f t="shared" si="28"/>
        <v>:00</v>
      </c>
      <c r="AB132" s="6">
        <f t="shared" si="29"/>
        <v>8</v>
      </c>
      <c r="AC132" s="6">
        <f t="shared" si="30"/>
        <v>193</v>
      </c>
      <c r="AD132" s="6">
        <f t="shared" si="31"/>
        <v>16</v>
      </c>
      <c r="AE132" s="9">
        <f t="shared" si="24"/>
        <v>0</v>
      </c>
      <c r="AF132" s="9">
        <f t="shared" si="24"/>
        <v>0</v>
      </c>
      <c r="AG132" s="9">
        <f t="shared" si="24"/>
        <v>0</v>
      </c>
      <c r="AH132" s="9">
        <f t="shared" si="24"/>
        <v>0</v>
      </c>
      <c r="AI132" s="9">
        <f t="shared" si="24"/>
        <v>0</v>
      </c>
      <c r="AJ132" s="9">
        <f t="shared" si="23"/>
        <v>0</v>
      </c>
      <c r="AK132" s="9">
        <f t="shared" si="23"/>
        <v>0</v>
      </c>
      <c r="AL132" s="9">
        <f t="shared" si="23"/>
        <v>0</v>
      </c>
      <c r="AM132" s="10" t="str">
        <f t="shared" si="32"/>
        <v>27</v>
      </c>
      <c r="AO132" s="2" t="s">
        <v>10</v>
      </c>
      <c r="AT132" s="11">
        <f t="shared" si="33"/>
        <v>131</v>
      </c>
      <c r="AU132" s="12" t="str">
        <f t="shared" si="34"/>
        <v/>
      </c>
    </row>
    <row r="133" spans="15:47" ht="18" customHeight="1">
      <c r="O133" s="2" t="str">
        <f t="shared" si="26"/>
        <v>STAGE 4 洞窟データ</v>
      </c>
      <c r="X133" s="7" t="str">
        <f t="shared" si="27"/>
        <v>C118</v>
      </c>
      <c r="Y133" s="13"/>
      <c r="Z133" s="9" t="str">
        <f t="shared" si="28"/>
        <v>:00</v>
      </c>
      <c r="AB133" s="6">
        <f t="shared" si="29"/>
        <v>8</v>
      </c>
      <c r="AC133" s="6">
        <f t="shared" si="30"/>
        <v>193</v>
      </c>
      <c r="AD133" s="6">
        <f t="shared" si="31"/>
        <v>24</v>
      </c>
      <c r="AE133" s="9">
        <f t="shared" si="24"/>
        <v>0</v>
      </c>
      <c r="AF133" s="9">
        <f t="shared" si="24"/>
        <v>0</v>
      </c>
      <c r="AG133" s="9">
        <f t="shared" si="24"/>
        <v>0</v>
      </c>
      <c r="AH133" s="9">
        <f t="shared" si="24"/>
        <v>0</v>
      </c>
      <c r="AI133" s="9">
        <f t="shared" si="24"/>
        <v>0</v>
      </c>
      <c r="AJ133" s="9">
        <f t="shared" si="23"/>
        <v>0</v>
      </c>
      <c r="AK133" s="9">
        <f t="shared" si="23"/>
        <v>0</v>
      </c>
      <c r="AL133" s="9">
        <f t="shared" si="23"/>
        <v>0</v>
      </c>
      <c r="AM133" s="10" t="str">
        <f t="shared" si="32"/>
        <v>1F</v>
      </c>
      <c r="AO133" s="2" t="s">
        <v>10</v>
      </c>
      <c r="AT133" s="11">
        <f t="shared" si="33"/>
        <v>132</v>
      </c>
      <c r="AU133" s="12" t="str">
        <f t="shared" si="34"/>
        <v/>
      </c>
    </row>
    <row r="134" spans="15:47" ht="18" customHeight="1">
      <c r="O134" s="2" t="str">
        <f t="shared" si="26"/>
        <v>STAGE 4 洞窟データ</v>
      </c>
      <c r="X134" s="7" t="str">
        <f t="shared" si="27"/>
        <v>C120</v>
      </c>
      <c r="Y134" s="13"/>
      <c r="Z134" s="9" t="str">
        <f t="shared" si="28"/>
        <v>:00</v>
      </c>
      <c r="AB134" s="6">
        <f t="shared" si="29"/>
        <v>8</v>
      </c>
      <c r="AC134" s="6">
        <f t="shared" si="30"/>
        <v>193</v>
      </c>
      <c r="AD134" s="6">
        <f t="shared" si="31"/>
        <v>32</v>
      </c>
      <c r="AE134" s="9">
        <f t="shared" si="24"/>
        <v>0</v>
      </c>
      <c r="AF134" s="9">
        <f t="shared" si="24"/>
        <v>0</v>
      </c>
      <c r="AG134" s="9">
        <f t="shared" si="24"/>
        <v>0</v>
      </c>
      <c r="AH134" s="9">
        <f t="shared" si="24"/>
        <v>0</v>
      </c>
      <c r="AI134" s="9">
        <f t="shared" si="24"/>
        <v>0</v>
      </c>
      <c r="AJ134" s="9">
        <f t="shared" si="23"/>
        <v>0</v>
      </c>
      <c r="AK134" s="9">
        <f t="shared" si="23"/>
        <v>0</v>
      </c>
      <c r="AL134" s="9">
        <f t="shared" si="23"/>
        <v>0</v>
      </c>
      <c r="AM134" s="10" t="str">
        <f t="shared" si="32"/>
        <v>17</v>
      </c>
      <c r="AO134" s="2" t="s">
        <v>10</v>
      </c>
      <c r="AT134" s="11">
        <f t="shared" si="33"/>
        <v>133</v>
      </c>
      <c r="AU134" s="12" t="str">
        <f t="shared" si="34"/>
        <v/>
      </c>
    </row>
    <row r="135" spans="15:47" ht="18" customHeight="1">
      <c r="O135" s="2" t="str">
        <f t="shared" si="26"/>
        <v>STAGE 4 洞窟データ</v>
      </c>
      <c r="X135" s="7" t="str">
        <f t="shared" si="27"/>
        <v>C128</v>
      </c>
      <c r="Y135" s="13"/>
      <c r="Z135" s="9" t="str">
        <f t="shared" si="28"/>
        <v>:00</v>
      </c>
      <c r="AB135" s="6">
        <f t="shared" si="29"/>
        <v>8</v>
      </c>
      <c r="AC135" s="6">
        <f t="shared" si="30"/>
        <v>193</v>
      </c>
      <c r="AD135" s="6">
        <f t="shared" si="31"/>
        <v>40</v>
      </c>
      <c r="AE135" s="9">
        <f t="shared" si="24"/>
        <v>0</v>
      </c>
      <c r="AF135" s="9">
        <f t="shared" si="24"/>
        <v>0</v>
      </c>
      <c r="AG135" s="9">
        <f t="shared" si="24"/>
        <v>0</v>
      </c>
      <c r="AH135" s="9">
        <f t="shared" si="24"/>
        <v>0</v>
      </c>
      <c r="AI135" s="9">
        <f t="shared" si="24"/>
        <v>0</v>
      </c>
      <c r="AJ135" s="9">
        <f t="shared" si="23"/>
        <v>0</v>
      </c>
      <c r="AK135" s="9">
        <f t="shared" si="23"/>
        <v>0</v>
      </c>
      <c r="AL135" s="9">
        <f t="shared" si="23"/>
        <v>0</v>
      </c>
      <c r="AM135" s="10" t="str">
        <f t="shared" si="32"/>
        <v>0F</v>
      </c>
      <c r="AO135" s="2" t="s">
        <v>10</v>
      </c>
      <c r="AT135" s="11">
        <f t="shared" si="33"/>
        <v>134</v>
      </c>
      <c r="AU135" s="12" t="str">
        <f t="shared" si="34"/>
        <v/>
      </c>
    </row>
    <row r="136" spans="15:47" ht="18" customHeight="1">
      <c r="O136" s="2" t="str">
        <f t="shared" si="26"/>
        <v>STAGE 4 洞窟データ</v>
      </c>
      <c r="X136" s="7" t="str">
        <f t="shared" si="27"/>
        <v>C130</v>
      </c>
      <c r="Y136" s="13"/>
      <c r="Z136" s="9" t="str">
        <f t="shared" si="28"/>
        <v>:00</v>
      </c>
      <c r="AB136" s="6">
        <f t="shared" si="29"/>
        <v>8</v>
      </c>
      <c r="AC136" s="6">
        <f t="shared" si="30"/>
        <v>193</v>
      </c>
      <c r="AD136" s="6">
        <f t="shared" si="31"/>
        <v>48</v>
      </c>
      <c r="AE136" s="9">
        <f t="shared" si="24"/>
        <v>0</v>
      </c>
      <c r="AF136" s="9">
        <f t="shared" si="24"/>
        <v>0</v>
      </c>
      <c r="AG136" s="9">
        <f t="shared" si="24"/>
        <v>0</v>
      </c>
      <c r="AH136" s="9">
        <f t="shared" si="24"/>
        <v>0</v>
      </c>
      <c r="AI136" s="9">
        <f t="shared" si="24"/>
        <v>0</v>
      </c>
      <c r="AJ136" s="9">
        <f t="shared" si="23"/>
        <v>0</v>
      </c>
      <c r="AK136" s="9">
        <f t="shared" si="23"/>
        <v>0</v>
      </c>
      <c r="AL136" s="9">
        <f t="shared" si="23"/>
        <v>0</v>
      </c>
      <c r="AM136" s="10" t="str">
        <f t="shared" si="32"/>
        <v>07</v>
      </c>
      <c r="AO136" s="2" t="s">
        <v>10</v>
      </c>
      <c r="AT136" s="11">
        <f t="shared" si="33"/>
        <v>135</v>
      </c>
      <c r="AU136" s="12" t="str">
        <f t="shared" si="34"/>
        <v/>
      </c>
    </row>
    <row r="137" spans="15:47" ht="18" customHeight="1">
      <c r="O137" s="2" t="str">
        <f t="shared" si="26"/>
        <v>STAGE 4 洞窟データ</v>
      </c>
      <c r="X137" s="7" t="str">
        <f t="shared" si="27"/>
        <v>C138</v>
      </c>
      <c r="Y137" s="13"/>
      <c r="Z137" s="9" t="str">
        <f t="shared" si="28"/>
        <v>:00</v>
      </c>
      <c r="AB137" s="6">
        <f t="shared" si="29"/>
        <v>8</v>
      </c>
      <c r="AC137" s="6">
        <f t="shared" si="30"/>
        <v>193</v>
      </c>
      <c r="AD137" s="6">
        <f t="shared" si="31"/>
        <v>56</v>
      </c>
      <c r="AE137" s="9">
        <f t="shared" si="24"/>
        <v>0</v>
      </c>
      <c r="AF137" s="9">
        <f t="shared" si="24"/>
        <v>0</v>
      </c>
      <c r="AG137" s="9">
        <f t="shared" si="24"/>
        <v>0</v>
      </c>
      <c r="AH137" s="9">
        <f t="shared" si="24"/>
        <v>0</v>
      </c>
      <c r="AI137" s="9">
        <f t="shared" si="24"/>
        <v>0</v>
      </c>
      <c r="AJ137" s="9">
        <f t="shared" si="23"/>
        <v>0</v>
      </c>
      <c r="AK137" s="9">
        <f t="shared" si="23"/>
        <v>0</v>
      </c>
      <c r="AL137" s="9">
        <f t="shared" si="23"/>
        <v>0</v>
      </c>
      <c r="AM137" s="10" t="str">
        <f t="shared" si="32"/>
        <v>FF</v>
      </c>
      <c r="AO137" s="2" t="s">
        <v>10</v>
      </c>
      <c r="AT137" s="11">
        <f t="shared" si="33"/>
        <v>136</v>
      </c>
      <c r="AU137" s="12" t="str">
        <f t="shared" si="34"/>
        <v/>
      </c>
    </row>
    <row r="138" spans="15:47" ht="18" customHeight="1">
      <c r="O138" s="2" t="str">
        <f t="shared" si="26"/>
        <v>STAGE 4 洞窟データ</v>
      </c>
      <c r="X138" s="7" t="str">
        <f t="shared" si="27"/>
        <v>C140</v>
      </c>
      <c r="Y138" s="13"/>
      <c r="Z138" s="9" t="str">
        <f t="shared" si="28"/>
        <v>:00</v>
      </c>
      <c r="AB138" s="6">
        <f t="shared" si="29"/>
        <v>8</v>
      </c>
      <c r="AC138" s="6">
        <f t="shared" si="30"/>
        <v>193</v>
      </c>
      <c r="AD138" s="6">
        <f t="shared" si="31"/>
        <v>64</v>
      </c>
      <c r="AE138" s="9">
        <f t="shared" si="24"/>
        <v>0</v>
      </c>
      <c r="AF138" s="9">
        <f t="shared" si="24"/>
        <v>0</v>
      </c>
      <c r="AG138" s="9">
        <f t="shared" si="24"/>
        <v>0</v>
      </c>
      <c r="AH138" s="9">
        <f t="shared" si="24"/>
        <v>0</v>
      </c>
      <c r="AI138" s="9">
        <f t="shared" si="24"/>
        <v>0</v>
      </c>
      <c r="AJ138" s="9">
        <f t="shared" si="23"/>
        <v>0</v>
      </c>
      <c r="AK138" s="9">
        <f t="shared" si="23"/>
        <v>0</v>
      </c>
      <c r="AL138" s="9">
        <f t="shared" si="23"/>
        <v>0</v>
      </c>
      <c r="AM138" s="10" t="str">
        <f t="shared" si="32"/>
        <v>F7</v>
      </c>
      <c r="AO138" s="2" t="s">
        <v>10</v>
      </c>
      <c r="AT138" s="11">
        <f t="shared" si="33"/>
        <v>137</v>
      </c>
      <c r="AU138" s="12" t="str">
        <f t="shared" si="34"/>
        <v/>
      </c>
    </row>
    <row r="139" spans="15:47" ht="18" customHeight="1">
      <c r="O139" s="2" t="str">
        <f t="shared" si="26"/>
        <v>STAGE 4 洞窟データ</v>
      </c>
      <c r="X139" s="7" t="str">
        <f t="shared" si="27"/>
        <v>C148</v>
      </c>
      <c r="Y139" s="13"/>
      <c r="Z139" s="9" t="str">
        <f t="shared" si="28"/>
        <v>:00</v>
      </c>
      <c r="AB139" s="6">
        <f t="shared" si="29"/>
        <v>8</v>
      </c>
      <c r="AC139" s="6">
        <f t="shared" si="30"/>
        <v>193</v>
      </c>
      <c r="AD139" s="6">
        <f t="shared" si="31"/>
        <v>72</v>
      </c>
      <c r="AE139" s="9">
        <f t="shared" si="24"/>
        <v>0</v>
      </c>
      <c r="AF139" s="9">
        <f t="shared" si="24"/>
        <v>0</v>
      </c>
      <c r="AG139" s="9">
        <f t="shared" si="24"/>
        <v>0</v>
      </c>
      <c r="AH139" s="9">
        <f t="shared" si="24"/>
        <v>0</v>
      </c>
      <c r="AI139" s="9">
        <f t="shared" si="24"/>
        <v>0</v>
      </c>
      <c r="AJ139" s="9">
        <f t="shared" si="23"/>
        <v>0</v>
      </c>
      <c r="AK139" s="9">
        <f t="shared" si="23"/>
        <v>0</v>
      </c>
      <c r="AL139" s="9">
        <f t="shared" si="23"/>
        <v>0</v>
      </c>
      <c r="AM139" s="10" t="str">
        <f t="shared" si="32"/>
        <v>EF</v>
      </c>
      <c r="AO139" s="2" t="s">
        <v>10</v>
      </c>
      <c r="AT139" s="11">
        <f t="shared" si="33"/>
        <v>138</v>
      </c>
      <c r="AU139" s="12" t="str">
        <f t="shared" si="34"/>
        <v/>
      </c>
    </row>
    <row r="140" spans="15:47" ht="18" customHeight="1">
      <c r="O140" s="2" t="str">
        <f t="shared" si="26"/>
        <v>STAGE 4 洞窟データ</v>
      </c>
      <c r="X140" s="7" t="str">
        <f t="shared" si="27"/>
        <v>C150</v>
      </c>
      <c r="Y140" s="13"/>
      <c r="Z140" s="9" t="str">
        <f t="shared" si="28"/>
        <v>:00</v>
      </c>
      <c r="AB140" s="6">
        <f t="shared" si="29"/>
        <v>8</v>
      </c>
      <c r="AC140" s="6">
        <f t="shared" si="30"/>
        <v>193</v>
      </c>
      <c r="AD140" s="6">
        <f t="shared" si="31"/>
        <v>80</v>
      </c>
      <c r="AE140" s="9">
        <f t="shared" si="24"/>
        <v>0</v>
      </c>
      <c r="AF140" s="9">
        <f t="shared" si="24"/>
        <v>0</v>
      </c>
      <c r="AG140" s="9">
        <f t="shared" si="24"/>
        <v>0</v>
      </c>
      <c r="AH140" s="9">
        <f t="shared" si="24"/>
        <v>0</v>
      </c>
      <c r="AI140" s="9">
        <f t="shared" si="24"/>
        <v>0</v>
      </c>
      <c r="AJ140" s="9">
        <f t="shared" si="23"/>
        <v>0</v>
      </c>
      <c r="AK140" s="9">
        <f t="shared" si="23"/>
        <v>0</v>
      </c>
      <c r="AL140" s="9">
        <f t="shared" si="23"/>
        <v>0</v>
      </c>
      <c r="AM140" s="10" t="str">
        <f t="shared" si="32"/>
        <v>E7</v>
      </c>
      <c r="AO140" s="2" t="s">
        <v>10</v>
      </c>
      <c r="AT140" s="11">
        <f t="shared" si="33"/>
        <v>139</v>
      </c>
      <c r="AU140" s="12" t="str">
        <f t="shared" si="34"/>
        <v/>
      </c>
    </row>
    <row r="141" spans="15:47" ht="18" customHeight="1">
      <c r="O141" s="2" t="str">
        <f t="shared" si="26"/>
        <v>STAGE 4 洞窟データ</v>
      </c>
      <c r="X141" s="7" t="str">
        <f t="shared" si="27"/>
        <v>C158</v>
      </c>
      <c r="Y141" s="13"/>
      <c r="Z141" s="9" t="str">
        <f t="shared" si="28"/>
        <v>:00</v>
      </c>
      <c r="AB141" s="6">
        <f t="shared" si="29"/>
        <v>8</v>
      </c>
      <c r="AC141" s="6">
        <f t="shared" si="30"/>
        <v>193</v>
      </c>
      <c r="AD141" s="6">
        <f t="shared" si="31"/>
        <v>88</v>
      </c>
      <c r="AE141" s="9">
        <f t="shared" si="24"/>
        <v>0</v>
      </c>
      <c r="AF141" s="9">
        <f t="shared" si="24"/>
        <v>0</v>
      </c>
      <c r="AG141" s="9">
        <f t="shared" si="24"/>
        <v>0</v>
      </c>
      <c r="AH141" s="9">
        <f t="shared" si="24"/>
        <v>0</v>
      </c>
      <c r="AI141" s="9">
        <f t="shared" si="24"/>
        <v>0</v>
      </c>
      <c r="AJ141" s="9">
        <f t="shared" si="23"/>
        <v>0</v>
      </c>
      <c r="AK141" s="9">
        <f t="shared" si="23"/>
        <v>0</v>
      </c>
      <c r="AL141" s="9">
        <f t="shared" si="23"/>
        <v>0</v>
      </c>
      <c r="AM141" s="10" t="str">
        <f t="shared" si="32"/>
        <v>DF</v>
      </c>
      <c r="AO141" s="2" t="s">
        <v>10</v>
      </c>
      <c r="AT141" s="11">
        <f t="shared" si="33"/>
        <v>140</v>
      </c>
      <c r="AU141" s="12" t="str">
        <f t="shared" si="34"/>
        <v/>
      </c>
    </row>
    <row r="142" spans="15:47" ht="18" customHeight="1">
      <c r="O142" s="2" t="str">
        <f t="shared" si="26"/>
        <v>STAGE 4 洞窟データ</v>
      </c>
      <c r="X142" s="7" t="str">
        <f t="shared" si="27"/>
        <v>C160</v>
      </c>
      <c r="Y142" s="13"/>
      <c r="Z142" s="9" t="str">
        <f t="shared" si="28"/>
        <v>:00</v>
      </c>
      <c r="AB142" s="6">
        <f t="shared" si="29"/>
        <v>8</v>
      </c>
      <c r="AC142" s="6">
        <f t="shared" si="30"/>
        <v>193</v>
      </c>
      <c r="AD142" s="6">
        <f t="shared" si="31"/>
        <v>96</v>
      </c>
      <c r="AE142" s="9">
        <f t="shared" si="24"/>
        <v>0</v>
      </c>
      <c r="AF142" s="9">
        <f t="shared" si="24"/>
        <v>0</v>
      </c>
      <c r="AG142" s="9">
        <f t="shared" si="24"/>
        <v>0</v>
      </c>
      <c r="AH142" s="9">
        <f t="shared" si="24"/>
        <v>0</v>
      </c>
      <c r="AI142" s="9">
        <f t="shared" si="24"/>
        <v>0</v>
      </c>
      <c r="AJ142" s="9">
        <f t="shared" si="23"/>
        <v>0</v>
      </c>
      <c r="AK142" s="9">
        <f t="shared" si="23"/>
        <v>0</v>
      </c>
      <c r="AL142" s="9">
        <f t="shared" si="23"/>
        <v>0</v>
      </c>
      <c r="AM142" s="10" t="str">
        <f t="shared" si="32"/>
        <v>D7</v>
      </c>
      <c r="AO142" s="2" t="s">
        <v>10</v>
      </c>
      <c r="AT142" s="11">
        <f t="shared" si="33"/>
        <v>141</v>
      </c>
      <c r="AU142" s="12" t="str">
        <f t="shared" si="34"/>
        <v/>
      </c>
    </row>
    <row r="143" spans="15:47" ht="18" customHeight="1">
      <c r="O143" s="2" t="str">
        <f t="shared" si="26"/>
        <v>STAGE 4 洞窟データ</v>
      </c>
      <c r="X143" s="7" t="str">
        <f t="shared" si="27"/>
        <v>C168</v>
      </c>
      <c r="Y143" s="19"/>
      <c r="Z143" s="9" t="str">
        <f t="shared" si="28"/>
        <v>:00</v>
      </c>
      <c r="AB143" s="6">
        <f t="shared" si="29"/>
        <v>8</v>
      </c>
      <c r="AC143" s="6">
        <f t="shared" si="30"/>
        <v>193</v>
      </c>
      <c r="AD143" s="6">
        <f t="shared" si="31"/>
        <v>104</v>
      </c>
      <c r="AE143" s="9">
        <f t="shared" si="24"/>
        <v>0</v>
      </c>
      <c r="AF143" s="9">
        <f t="shared" si="24"/>
        <v>0</v>
      </c>
      <c r="AG143" s="9">
        <f t="shared" si="24"/>
        <v>0</v>
      </c>
      <c r="AH143" s="9">
        <f t="shared" si="24"/>
        <v>0</v>
      </c>
      <c r="AI143" s="9">
        <f t="shared" si="24"/>
        <v>0</v>
      </c>
      <c r="AJ143" s="9">
        <f t="shared" si="24"/>
        <v>0</v>
      </c>
      <c r="AK143" s="9">
        <f t="shared" si="24"/>
        <v>0</v>
      </c>
      <c r="AL143" s="9">
        <f t="shared" si="24"/>
        <v>0</v>
      </c>
      <c r="AM143" s="10" t="str">
        <f t="shared" si="32"/>
        <v>CF</v>
      </c>
      <c r="AO143" s="2" t="s">
        <v>10</v>
      </c>
      <c r="AT143" s="11">
        <f t="shared" si="33"/>
        <v>142</v>
      </c>
      <c r="AU143" s="12" t="str">
        <f t="shared" si="34"/>
        <v/>
      </c>
    </row>
    <row r="144" spans="15:47" ht="18" customHeight="1">
      <c r="O144" s="2" t="str">
        <f t="shared" si="26"/>
        <v>STAGE 4 洞窟データ</v>
      </c>
      <c r="X144" s="7" t="str">
        <f t="shared" si="27"/>
        <v>C170</v>
      </c>
      <c r="Y144" s="19"/>
      <c r="Z144" s="9" t="str">
        <f t="shared" si="28"/>
        <v>:00</v>
      </c>
      <c r="AB144" s="6">
        <f t="shared" si="29"/>
        <v>8</v>
      </c>
      <c r="AC144" s="6">
        <f t="shared" si="30"/>
        <v>193</v>
      </c>
      <c r="AD144" s="6">
        <f t="shared" si="31"/>
        <v>112</v>
      </c>
      <c r="AE144" s="9">
        <f t="shared" si="24"/>
        <v>0</v>
      </c>
      <c r="AF144" s="9">
        <f t="shared" si="24"/>
        <v>0</v>
      </c>
      <c r="AG144" s="9">
        <f t="shared" si="24"/>
        <v>0</v>
      </c>
      <c r="AH144" s="9">
        <f t="shared" si="24"/>
        <v>0</v>
      </c>
      <c r="AI144" s="9">
        <f t="shared" si="24"/>
        <v>0</v>
      </c>
      <c r="AJ144" s="9">
        <f t="shared" si="24"/>
        <v>0</v>
      </c>
      <c r="AK144" s="9">
        <f t="shared" si="24"/>
        <v>0</v>
      </c>
      <c r="AL144" s="9">
        <f t="shared" si="24"/>
        <v>0</v>
      </c>
      <c r="AM144" s="10" t="str">
        <f t="shared" si="32"/>
        <v>C7</v>
      </c>
      <c r="AO144" s="2" t="s">
        <v>10</v>
      </c>
      <c r="AT144" s="11">
        <f t="shared" si="33"/>
        <v>143</v>
      </c>
      <c r="AU144" s="12" t="str">
        <f t="shared" si="34"/>
        <v/>
      </c>
    </row>
    <row r="145" spans="15:47" ht="18" customHeight="1">
      <c r="O145" s="2" t="str">
        <f t="shared" si="26"/>
        <v>STAGE 4 洞窟データ</v>
      </c>
      <c r="X145" s="7" t="str">
        <f t="shared" si="27"/>
        <v>C178</v>
      </c>
      <c r="Y145" s="19"/>
      <c r="Z145" s="9" t="str">
        <f t="shared" si="28"/>
        <v>:00</v>
      </c>
      <c r="AB145" s="6">
        <f t="shared" si="29"/>
        <v>8</v>
      </c>
      <c r="AC145" s="6">
        <f t="shared" si="30"/>
        <v>193</v>
      </c>
      <c r="AD145" s="6">
        <f t="shared" si="31"/>
        <v>120</v>
      </c>
      <c r="AE145" s="9">
        <f t="shared" si="24"/>
        <v>0</v>
      </c>
      <c r="AF145" s="9">
        <f t="shared" si="24"/>
        <v>0</v>
      </c>
      <c r="AG145" s="9">
        <f t="shared" si="24"/>
        <v>0</v>
      </c>
      <c r="AH145" s="9">
        <f t="shared" si="24"/>
        <v>0</v>
      </c>
      <c r="AI145" s="9">
        <f t="shared" si="24"/>
        <v>0</v>
      </c>
      <c r="AJ145" s="9">
        <f t="shared" si="24"/>
        <v>0</v>
      </c>
      <c r="AK145" s="9">
        <f t="shared" si="24"/>
        <v>0</v>
      </c>
      <c r="AL145" s="9">
        <f t="shared" si="24"/>
        <v>0</v>
      </c>
      <c r="AM145" s="10" t="str">
        <f t="shared" si="32"/>
        <v>BF</v>
      </c>
      <c r="AO145" s="2" t="s">
        <v>10</v>
      </c>
      <c r="AT145" s="11">
        <f t="shared" si="33"/>
        <v>144</v>
      </c>
      <c r="AU145" s="12" t="str">
        <f t="shared" si="34"/>
        <v/>
      </c>
    </row>
    <row r="146" spans="15:47" ht="18" customHeight="1">
      <c r="O146" s="2" t="str">
        <f t="shared" si="26"/>
        <v>STAGE 4 洞窟データ</v>
      </c>
      <c r="X146" s="7" t="str">
        <f t="shared" si="27"/>
        <v>C180</v>
      </c>
      <c r="Y146" s="19"/>
      <c r="Z146" s="9" t="str">
        <f t="shared" si="28"/>
        <v>:00</v>
      </c>
      <c r="AB146" s="6">
        <f t="shared" si="29"/>
        <v>8</v>
      </c>
      <c r="AC146" s="6">
        <f t="shared" si="30"/>
        <v>193</v>
      </c>
      <c r="AD146" s="6">
        <f t="shared" si="31"/>
        <v>128</v>
      </c>
      <c r="AE146" s="9">
        <f t="shared" si="24"/>
        <v>0</v>
      </c>
      <c r="AF146" s="9">
        <f t="shared" si="24"/>
        <v>0</v>
      </c>
      <c r="AG146" s="9">
        <f t="shared" si="24"/>
        <v>0</v>
      </c>
      <c r="AH146" s="9">
        <f t="shared" si="24"/>
        <v>0</v>
      </c>
      <c r="AI146" s="9">
        <f t="shared" si="24"/>
        <v>0</v>
      </c>
      <c r="AJ146" s="9">
        <f t="shared" si="24"/>
        <v>0</v>
      </c>
      <c r="AK146" s="9">
        <f t="shared" si="24"/>
        <v>0</v>
      </c>
      <c r="AL146" s="9">
        <f t="shared" si="24"/>
        <v>0</v>
      </c>
      <c r="AM146" s="10" t="str">
        <f t="shared" si="32"/>
        <v>B7</v>
      </c>
      <c r="AO146" s="2" t="s">
        <v>10</v>
      </c>
      <c r="AT146" s="11">
        <f t="shared" si="33"/>
        <v>145</v>
      </c>
      <c r="AU146" s="12" t="str">
        <f t="shared" si="34"/>
        <v/>
      </c>
    </row>
    <row r="147" spans="15:47" ht="18" customHeight="1">
      <c r="O147" s="2" t="str">
        <f t="shared" si="26"/>
        <v>STAGE 4 洞窟データ</v>
      </c>
      <c r="X147" s="7" t="str">
        <f t="shared" si="27"/>
        <v>C188</v>
      </c>
      <c r="Y147" s="19"/>
      <c r="Z147" s="9" t="str">
        <f t="shared" si="28"/>
        <v>:00</v>
      </c>
      <c r="AB147" s="6">
        <f t="shared" si="29"/>
        <v>8</v>
      </c>
      <c r="AC147" s="6">
        <f t="shared" si="30"/>
        <v>193</v>
      </c>
      <c r="AD147" s="6">
        <f t="shared" si="31"/>
        <v>136</v>
      </c>
      <c r="AE147" s="9">
        <f t="shared" si="24"/>
        <v>0</v>
      </c>
      <c r="AF147" s="9">
        <f t="shared" si="24"/>
        <v>0</v>
      </c>
      <c r="AG147" s="9">
        <f t="shared" si="24"/>
        <v>0</v>
      </c>
      <c r="AH147" s="9">
        <f t="shared" si="24"/>
        <v>0</v>
      </c>
      <c r="AI147" s="9">
        <f t="shared" si="24"/>
        <v>0</v>
      </c>
      <c r="AJ147" s="9">
        <f t="shared" si="24"/>
        <v>0</v>
      </c>
      <c r="AK147" s="9">
        <f t="shared" si="24"/>
        <v>0</v>
      </c>
      <c r="AL147" s="9">
        <f t="shared" si="24"/>
        <v>0</v>
      </c>
      <c r="AM147" s="10" t="str">
        <f t="shared" si="32"/>
        <v>AF</v>
      </c>
      <c r="AO147" s="2" t="s">
        <v>10</v>
      </c>
      <c r="AT147" s="11">
        <f t="shared" si="33"/>
        <v>146</v>
      </c>
      <c r="AU147" s="12" t="str">
        <f t="shared" si="34"/>
        <v/>
      </c>
    </row>
    <row r="148" spans="15:47" ht="18" customHeight="1">
      <c r="O148" s="2" t="str">
        <f t="shared" si="26"/>
        <v>STAGE 4 洞窟データ</v>
      </c>
      <c r="X148" s="7" t="str">
        <f t="shared" si="27"/>
        <v>C190</v>
      </c>
      <c r="Y148" s="19"/>
      <c r="Z148" s="9" t="str">
        <f t="shared" si="28"/>
        <v>:00</v>
      </c>
      <c r="AB148" s="6">
        <f t="shared" si="29"/>
        <v>8</v>
      </c>
      <c r="AC148" s="6">
        <f t="shared" si="30"/>
        <v>193</v>
      </c>
      <c r="AD148" s="6">
        <f t="shared" si="31"/>
        <v>144</v>
      </c>
      <c r="AE148" s="9">
        <f t="shared" si="24"/>
        <v>0</v>
      </c>
      <c r="AF148" s="9">
        <f t="shared" si="24"/>
        <v>0</v>
      </c>
      <c r="AG148" s="9">
        <f t="shared" si="24"/>
        <v>0</v>
      </c>
      <c r="AH148" s="9">
        <f t="shared" si="24"/>
        <v>0</v>
      </c>
      <c r="AI148" s="9">
        <f t="shared" si="24"/>
        <v>0</v>
      </c>
      <c r="AJ148" s="9">
        <f t="shared" si="24"/>
        <v>0</v>
      </c>
      <c r="AK148" s="9">
        <f t="shared" si="24"/>
        <v>0</v>
      </c>
      <c r="AL148" s="9">
        <f t="shared" si="24"/>
        <v>0</v>
      </c>
      <c r="AM148" s="10" t="str">
        <f t="shared" si="32"/>
        <v>A7</v>
      </c>
      <c r="AO148" s="2" t="s">
        <v>10</v>
      </c>
      <c r="AT148" s="11">
        <f t="shared" si="33"/>
        <v>147</v>
      </c>
      <c r="AU148" s="12" t="str">
        <f t="shared" si="34"/>
        <v/>
      </c>
    </row>
    <row r="149" spans="15:47" ht="18" customHeight="1">
      <c r="O149" s="2" t="str">
        <f t="shared" si="26"/>
        <v>STAGE 4 洞窟データ</v>
      </c>
      <c r="X149" s="7" t="str">
        <f t="shared" si="27"/>
        <v>C198</v>
      </c>
      <c r="Y149" s="19"/>
      <c r="Z149" s="9" t="str">
        <f t="shared" si="28"/>
        <v>:00</v>
      </c>
      <c r="AB149" s="6">
        <f t="shared" si="29"/>
        <v>8</v>
      </c>
      <c r="AC149" s="6">
        <f t="shared" si="30"/>
        <v>193</v>
      </c>
      <c r="AD149" s="6">
        <f t="shared" si="31"/>
        <v>152</v>
      </c>
      <c r="AE149" s="9">
        <f t="shared" si="24"/>
        <v>0</v>
      </c>
      <c r="AF149" s="9">
        <f t="shared" si="24"/>
        <v>0</v>
      </c>
      <c r="AG149" s="9">
        <f t="shared" si="24"/>
        <v>0</v>
      </c>
      <c r="AH149" s="9">
        <f t="shared" si="24"/>
        <v>0</v>
      </c>
      <c r="AI149" s="9">
        <f t="shared" si="24"/>
        <v>0</v>
      </c>
      <c r="AJ149" s="9">
        <f t="shared" si="24"/>
        <v>0</v>
      </c>
      <c r="AK149" s="9">
        <f t="shared" si="24"/>
        <v>0</v>
      </c>
      <c r="AL149" s="9">
        <f t="shared" si="24"/>
        <v>0</v>
      </c>
      <c r="AM149" s="10" t="str">
        <f t="shared" si="32"/>
        <v>9F</v>
      </c>
      <c r="AO149" s="2" t="s">
        <v>10</v>
      </c>
      <c r="AT149" s="11">
        <f t="shared" si="33"/>
        <v>148</v>
      </c>
      <c r="AU149" s="12" t="str">
        <f t="shared" si="34"/>
        <v/>
      </c>
    </row>
    <row r="150" spans="15:47" ht="18" customHeight="1">
      <c r="O150" s="2" t="str">
        <f t="shared" si="26"/>
        <v>STAGE 4 洞窟データ</v>
      </c>
      <c r="X150" s="7" t="str">
        <f t="shared" si="27"/>
        <v>C1A0</v>
      </c>
      <c r="Y150" s="19"/>
      <c r="Z150" s="9" t="str">
        <f t="shared" si="28"/>
        <v>:00</v>
      </c>
      <c r="AB150" s="6">
        <f t="shared" si="29"/>
        <v>8</v>
      </c>
      <c r="AC150" s="6">
        <f t="shared" si="30"/>
        <v>193</v>
      </c>
      <c r="AD150" s="6">
        <f t="shared" si="31"/>
        <v>160</v>
      </c>
      <c r="AE150" s="9">
        <f t="shared" si="24"/>
        <v>0</v>
      </c>
      <c r="AF150" s="9">
        <f t="shared" ref="AE150:AL181" si="35">HEX2DEC(MID($Y150,(COLUMN(AF150) - COLUMN($AE150)) * 2 + 1,2))</f>
        <v>0</v>
      </c>
      <c r="AG150" s="9">
        <f t="shared" si="35"/>
        <v>0</v>
      </c>
      <c r="AH150" s="9">
        <f t="shared" si="35"/>
        <v>0</v>
      </c>
      <c r="AI150" s="9">
        <f t="shared" si="35"/>
        <v>0</v>
      </c>
      <c r="AJ150" s="9">
        <f t="shared" si="35"/>
        <v>0</v>
      </c>
      <c r="AK150" s="9">
        <f t="shared" si="35"/>
        <v>0</v>
      </c>
      <c r="AL150" s="9">
        <f t="shared" si="35"/>
        <v>0</v>
      </c>
      <c r="AM150" s="10" t="str">
        <f t="shared" si="32"/>
        <v>97</v>
      </c>
      <c r="AO150" s="2" t="s">
        <v>10</v>
      </c>
      <c r="AT150" s="11">
        <f t="shared" si="33"/>
        <v>149</v>
      </c>
      <c r="AU150" s="12" t="str">
        <f t="shared" si="34"/>
        <v/>
      </c>
    </row>
    <row r="151" spans="15:47" ht="18" customHeight="1">
      <c r="O151" s="2" t="str">
        <f t="shared" si="26"/>
        <v>STAGE 4 洞窟データ</v>
      </c>
      <c r="X151" s="7" t="str">
        <f t="shared" si="27"/>
        <v>C1A8</v>
      </c>
      <c r="Y151" s="19"/>
      <c r="Z151" s="9" t="str">
        <f t="shared" si="28"/>
        <v>:00</v>
      </c>
      <c r="AB151" s="6">
        <f t="shared" si="29"/>
        <v>8</v>
      </c>
      <c r="AC151" s="6">
        <f t="shared" si="30"/>
        <v>193</v>
      </c>
      <c r="AD151" s="6">
        <f t="shared" si="31"/>
        <v>168</v>
      </c>
      <c r="AE151" s="9">
        <f t="shared" si="35"/>
        <v>0</v>
      </c>
      <c r="AF151" s="9">
        <f t="shared" si="35"/>
        <v>0</v>
      </c>
      <c r="AG151" s="9">
        <f t="shared" si="35"/>
        <v>0</v>
      </c>
      <c r="AH151" s="9">
        <f t="shared" si="35"/>
        <v>0</v>
      </c>
      <c r="AI151" s="9">
        <f t="shared" si="35"/>
        <v>0</v>
      </c>
      <c r="AJ151" s="9">
        <f t="shared" si="35"/>
        <v>0</v>
      </c>
      <c r="AK151" s="9">
        <f t="shared" si="35"/>
        <v>0</v>
      </c>
      <c r="AL151" s="9">
        <f t="shared" si="35"/>
        <v>0</v>
      </c>
      <c r="AM151" s="10" t="str">
        <f t="shared" si="32"/>
        <v>8F</v>
      </c>
      <c r="AO151" s="2" t="s">
        <v>10</v>
      </c>
      <c r="AT151" s="11">
        <f t="shared" si="33"/>
        <v>150</v>
      </c>
      <c r="AU151" s="12" t="str">
        <f t="shared" si="34"/>
        <v/>
      </c>
    </row>
    <row r="152" spans="15:47" ht="18" customHeight="1">
      <c r="O152" s="2" t="str">
        <f t="shared" si="26"/>
        <v>STAGE 4 洞窟データ</v>
      </c>
      <c r="X152" s="7" t="str">
        <f t="shared" si="27"/>
        <v>C1B0</v>
      </c>
      <c r="Y152" s="19"/>
      <c r="Z152" s="9" t="str">
        <f t="shared" si="28"/>
        <v>:00</v>
      </c>
      <c r="AB152" s="6">
        <f t="shared" si="29"/>
        <v>8</v>
      </c>
      <c r="AC152" s="6">
        <f t="shared" si="30"/>
        <v>193</v>
      </c>
      <c r="AD152" s="6">
        <f t="shared" si="31"/>
        <v>176</v>
      </c>
      <c r="AE152" s="9">
        <f t="shared" si="35"/>
        <v>0</v>
      </c>
      <c r="AF152" s="9">
        <f t="shared" si="35"/>
        <v>0</v>
      </c>
      <c r="AG152" s="9">
        <f t="shared" si="35"/>
        <v>0</v>
      </c>
      <c r="AH152" s="9">
        <f t="shared" si="35"/>
        <v>0</v>
      </c>
      <c r="AI152" s="9">
        <f t="shared" si="35"/>
        <v>0</v>
      </c>
      <c r="AJ152" s="9">
        <f t="shared" si="35"/>
        <v>0</v>
      </c>
      <c r="AK152" s="9">
        <f t="shared" si="35"/>
        <v>0</v>
      </c>
      <c r="AL152" s="9">
        <f t="shared" si="35"/>
        <v>0</v>
      </c>
      <c r="AM152" s="10" t="str">
        <f t="shared" si="32"/>
        <v>87</v>
      </c>
      <c r="AO152" s="2" t="s">
        <v>10</v>
      </c>
      <c r="AT152" s="11">
        <f t="shared" si="33"/>
        <v>151</v>
      </c>
      <c r="AU152" s="12" t="str">
        <f t="shared" si="34"/>
        <v/>
      </c>
    </row>
    <row r="153" spans="15:47" ht="18" customHeight="1">
      <c r="O153" s="2" t="str">
        <f t="shared" si="26"/>
        <v>STAGE 4 洞窟データ</v>
      </c>
      <c r="X153" s="7" t="str">
        <f t="shared" si="27"/>
        <v>C1B8</v>
      </c>
      <c r="Y153" s="19"/>
      <c r="Z153" s="9" t="str">
        <f t="shared" si="28"/>
        <v>:00</v>
      </c>
      <c r="AB153" s="6">
        <f t="shared" si="29"/>
        <v>8</v>
      </c>
      <c r="AC153" s="6">
        <f t="shared" si="30"/>
        <v>193</v>
      </c>
      <c r="AD153" s="6">
        <f t="shared" si="31"/>
        <v>184</v>
      </c>
      <c r="AE153" s="9">
        <f t="shared" si="35"/>
        <v>0</v>
      </c>
      <c r="AF153" s="9">
        <f t="shared" si="35"/>
        <v>0</v>
      </c>
      <c r="AG153" s="9">
        <f t="shared" si="35"/>
        <v>0</v>
      </c>
      <c r="AH153" s="9">
        <f t="shared" si="35"/>
        <v>0</v>
      </c>
      <c r="AI153" s="9">
        <f t="shared" si="35"/>
        <v>0</v>
      </c>
      <c r="AJ153" s="9">
        <f t="shared" si="35"/>
        <v>0</v>
      </c>
      <c r="AK153" s="9">
        <f t="shared" si="35"/>
        <v>0</v>
      </c>
      <c r="AL153" s="9">
        <f t="shared" si="35"/>
        <v>0</v>
      </c>
      <c r="AM153" s="10" t="str">
        <f t="shared" si="32"/>
        <v>7F</v>
      </c>
      <c r="AO153" s="2" t="s">
        <v>10</v>
      </c>
      <c r="AT153" s="11">
        <f t="shared" si="33"/>
        <v>152</v>
      </c>
      <c r="AU153" s="12" t="str">
        <f t="shared" si="34"/>
        <v/>
      </c>
    </row>
    <row r="154" spans="15:47" ht="18" customHeight="1">
      <c r="O154" s="2" t="str">
        <f t="shared" si="26"/>
        <v>STAGE 4 洞窟データ</v>
      </c>
      <c r="X154" s="7" t="str">
        <f t="shared" si="27"/>
        <v>C1C0</v>
      </c>
      <c r="Y154" s="19"/>
      <c r="Z154" s="9" t="str">
        <f t="shared" si="28"/>
        <v>:00</v>
      </c>
      <c r="AB154" s="6">
        <f t="shared" si="29"/>
        <v>8</v>
      </c>
      <c r="AC154" s="6">
        <f t="shared" si="30"/>
        <v>193</v>
      </c>
      <c r="AD154" s="6">
        <f t="shared" si="31"/>
        <v>192</v>
      </c>
      <c r="AE154" s="9">
        <f t="shared" si="35"/>
        <v>0</v>
      </c>
      <c r="AF154" s="9">
        <f t="shared" si="35"/>
        <v>0</v>
      </c>
      <c r="AG154" s="9">
        <f t="shared" si="35"/>
        <v>0</v>
      </c>
      <c r="AH154" s="9">
        <f t="shared" si="35"/>
        <v>0</v>
      </c>
      <c r="AI154" s="9">
        <f t="shared" si="35"/>
        <v>0</v>
      </c>
      <c r="AJ154" s="9">
        <f t="shared" si="35"/>
        <v>0</v>
      </c>
      <c r="AK154" s="9">
        <f t="shared" si="35"/>
        <v>0</v>
      </c>
      <c r="AL154" s="9">
        <f t="shared" si="35"/>
        <v>0</v>
      </c>
      <c r="AM154" s="10" t="str">
        <f t="shared" si="32"/>
        <v>77</v>
      </c>
      <c r="AO154" s="2" t="s">
        <v>10</v>
      </c>
      <c r="AT154" s="11">
        <f t="shared" si="33"/>
        <v>153</v>
      </c>
      <c r="AU154" s="12" t="str">
        <f t="shared" si="34"/>
        <v/>
      </c>
    </row>
    <row r="155" spans="15:47" ht="18" customHeight="1">
      <c r="O155" s="2" t="str">
        <f t="shared" si="26"/>
        <v>STAGE 4 洞窟データ</v>
      </c>
      <c r="X155" s="7" t="str">
        <f t="shared" si="27"/>
        <v>C1C8</v>
      </c>
      <c r="Y155" s="19"/>
      <c r="Z155" s="9" t="str">
        <f t="shared" si="28"/>
        <v>:00</v>
      </c>
      <c r="AB155" s="6">
        <f t="shared" si="29"/>
        <v>8</v>
      </c>
      <c r="AC155" s="6">
        <f t="shared" si="30"/>
        <v>193</v>
      </c>
      <c r="AD155" s="6">
        <f t="shared" si="31"/>
        <v>200</v>
      </c>
      <c r="AE155" s="9">
        <f t="shared" si="35"/>
        <v>0</v>
      </c>
      <c r="AF155" s="9">
        <f t="shared" si="35"/>
        <v>0</v>
      </c>
      <c r="AG155" s="9">
        <f t="shared" si="35"/>
        <v>0</v>
      </c>
      <c r="AH155" s="9">
        <f t="shared" si="35"/>
        <v>0</v>
      </c>
      <c r="AI155" s="9">
        <f t="shared" si="35"/>
        <v>0</v>
      </c>
      <c r="AJ155" s="9">
        <f t="shared" si="35"/>
        <v>0</v>
      </c>
      <c r="AK155" s="9">
        <f t="shared" si="35"/>
        <v>0</v>
      </c>
      <c r="AL155" s="9">
        <f t="shared" si="35"/>
        <v>0</v>
      </c>
      <c r="AM155" s="10" t="str">
        <f t="shared" si="32"/>
        <v>6F</v>
      </c>
      <c r="AO155" s="2" t="s">
        <v>10</v>
      </c>
      <c r="AT155" s="11">
        <f t="shared" si="33"/>
        <v>154</v>
      </c>
      <c r="AU155" s="12" t="str">
        <f t="shared" si="34"/>
        <v/>
      </c>
    </row>
    <row r="156" spans="15:47" ht="18" customHeight="1">
      <c r="O156" s="2" t="str">
        <f t="shared" si="26"/>
        <v>STAGE 4 洞窟データ</v>
      </c>
      <c r="X156" s="7" t="str">
        <f t="shared" si="27"/>
        <v>C1D0</v>
      </c>
      <c r="Y156" s="19"/>
      <c r="Z156" s="9" t="str">
        <f t="shared" si="28"/>
        <v>:00</v>
      </c>
      <c r="AB156" s="6">
        <f t="shared" si="29"/>
        <v>8</v>
      </c>
      <c r="AC156" s="6">
        <f t="shared" si="30"/>
        <v>193</v>
      </c>
      <c r="AD156" s="6">
        <f t="shared" si="31"/>
        <v>208</v>
      </c>
      <c r="AE156" s="9">
        <f t="shared" si="35"/>
        <v>0</v>
      </c>
      <c r="AF156" s="9">
        <f t="shared" si="35"/>
        <v>0</v>
      </c>
      <c r="AG156" s="9">
        <f t="shared" si="35"/>
        <v>0</v>
      </c>
      <c r="AH156" s="9">
        <f t="shared" si="35"/>
        <v>0</v>
      </c>
      <c r="AI156" s="9">
        <f t="shared" si="35"/>
        <v>0</v>
      </c>
      <c r="AJ156" s="9">
        <f t="shared" si="35"/>
        <v>0</v>
      </c>
      <c r="AK156" s="9">
        <f t="shared" si="35"/>
        <v>0</v>
      </c>
      <c r="AL156" s="9">
        <f t="shared" si="35"/>
        <v>0</v>
      </c>
      <c r="AM156" s="10" t="str">
        <f t="shared" si="32"/>
        <v>67</v>
      </c>
      <c r="AO156" s="2" t="s">
        <v>10</v>
      </c>
      <c r="AT156" s="11">
        <f t="shared" si="33"/>
        <v>155</v>
      </c>
      <c r="AU156" s="12" t="str">
        <f t="shared" si="34"/>
        <v/>
      </c>
    </row>
    <row r="157" spans="15:47" ht="18" customHeight="1">
      <c r="O157" s="2" t="str">
        <f t="shared" si="26"/>
        <v>STAGE 4 洞窟データ</v>
      </c>
      <c r="X157" s="7" t="str">
        <f t="shared" si="27"/>
        <v>C1D8</v>
      </c>
      <c r="Y157" s="19"/>
      <c r="Z157" s="9" t="str">
        <f t="shared" si="28"/>
        <v>:00</v>
      </c>
      <c r="AB157" s="6">
        <f t="shared" si="29"/>
        <v>8</v>
      </c>
      <c r="AC157" s="6">
        <f t="shared" si="30"/>
        <v>193</v>
      </c>
      <c r="AD157" s="6">
        <f t="shared" si="31"/>
        <v>216</v>
      </c>
      <c r="AE157" s="9">
        <f t="shared" si="35"/>
        <v>0</v>
      </c>
      <c r="AF157" s="9">
        <f t="shared" si="35"/>
        <v>0</v>
      </c>
      <c r="AG157" s="9">
        <f t="shared" si="35"/>
        <v>0</v>
      </c>
      <c r="AH157" s="9">
        <f t="shared" si="35"/>
        <v>0</v>
      </c>
      <c r="AI157" s="9">
        <f t="shared" si="35"/>
        <v>0</v>
      </c>
      <c r="AJ157" s="9">
        <f t="shared" si="35"/>
        <v>0</v>
      </c>
      <c r="AK157" s="9">
        <f t="shared" si="35"/>
        <v>0</v>
      </c>
      <c r="AL157" s="9">
        <f t="shared" si="35"/>
        <v>0</v>
      </c>
      <c r="AM157" s="10" t="str">
        <f t="shared" si="32"/>
        <v>5F</v>
      </c>
      <c r="AO157" s="2" t="s">
        <v>10</v>
      </c>
      <c r="AT157" s="11">
        <f t="shared" si="33"/>
        <v>156</v>
      </c>
      <c r="AU157" s="12" t="str">
        <f t="shared" si="34"/>
        <v/>
      </c>
    </row>
    <row r="158" spans="15:47" ht="18" customHeight="1">
      <c r="O158" s="2" t="str">
        <f t="shared" si="26"/>
        <v>STAGE 4 洞窟データ</v>
      </c>
      <c r="X158" s="7" t="str">
        <f t="shared" si="27"/>
        <v>C1E0</v>
      </c>
      <c r="Y158" s="19"/>
      <c r="Z158" s="9" t="str">
        <f t="shared" si="28"/>
        <v>:00</v>
      </c>
      <c r="AB158" s="6">
        <f t="shared" si="29"/>
        <v>8</v>
      </c>
      <c r="AC158" s="6">
        <f t="shared" si="30"/>
        <v>193</v>
      </c>
      <c r="AD158" s="6">
        <f t="shared" si="31"/>
        <v>224</v>
      </c>
      <c r="AE158" s="9">
        <f t="shared" si="35"/>
        <v>0</v>
      </c>
      <c r="AF158" s="9">
        <f t="shared" si="35"/>
        <v>0</v>
      </c>
      <c r="AG158" s="9">
        <f t="shared" si="35"/>
        <v>0</v>
      </c>
      <c r="AH158" s="9">
        <f t="shared" si="35"/>
        <v>0</v>
      </c>
      <c r="AI158" s="9">
        <f t="shared" si="35"/>
        <v>0</v>
      </c>
      <c r="AJ158" s="9">
        <f t="shared" si="35"/>
        <v>0</v>
      </c>
      <c r="AK158" s="9">
        <f t="shared" si="35"/>
        <v>0</v>
      </c>
      <c r="AL158" s="9">
        <f t="shared" si="35"/>
        <v>0</v>
      </c>
      <c r="AM158" s="10" t="str">
        <f t="shared" si="32"/>
        <v>57</v>
      </c>
      <c r="AO158" s="2" t="s">
        <v>10</v>
      </c>
      <c r="AT158" s="11">
        <f t="shared" si="33"/>
        <v>157</v>
      </c>
      <c r="AU158" s="12" t="str">
        <f t="shared" si="34"/>
        <v/>
      </c>
    </row>
    <row r="159" spans="15:47" ht="18" customHeight="1">
      <c r="O159" s="2" t="str">
        <f t="shared" si="26"/>
        <v>STAGE 4 洞窟データ</v>
      </c>
      <c r="X159" s="7" t="str">
        <f t="shared" si="27"/>
        <v>C1E8</v>
      </c>
      <c r="Y159" s="19"/>
      <c r="Z159" s="9" t="str">
        <f t="shared" si="28"/>
        <v>:00</v>
      </c>
      <c r="AB159" s="6">
        <f t="shared" si="29"/>
        <v>8</v>
      </c>
      <c r="AC159" s="6">
        <f t="shared" si="30"/>
        <v>193</v>
      </c>
      <c r="AD159" s="6">
        <f t="shared" si="31"/>
        <v>232</v>
      </c>
      <c r="AE159" s="9">
        <f t="shared" si="35"/>
        <v>0</v>
      </c>
      <c r="AF159" s="9">
        <f t="shared" si="35"/>
        <v>0</v>
      </c>
      <c r="AG159" s="9">
        <f t="shared" si="35"/>
        <v>0</v>
      </c>
      <c r="AH159" s="9">
        <f t="shared" si="35"/>
        <v>0</v>
      </c>
      <c r="AI159" s="9">
        <f t="shared" si="35"/>
        <v>0</v>
      </c>
      <c r="AJ159" s="9">
        <f t="shared" si="35"/>
        <v>0</v>
      </c>
      <c r="AK159" s="9">
        <f t="shared" si="35"/>
        <v>0</v>
      </c>
      <c r="AL159" s="9">
        <f t="shared" si="35"/>
        <v>0</v>
      </c>
      <c r="AM159" s="10" t="str">
        <f t="shared" si="32"/>
        <v>4F</v>
      </c>
      <c r="AO159" s="2" t="s">
        <v>10</v>
      </c>
      <c r="AT159" s="11">
        <f t="shared" si="33"/>
        <v>158</v>
      </c>
      <c r="AU159" s="12" t="str">
        <f t="shared" si="34"/>
        <v/>
      </c>
    </row>
    <row r="160" spans="15:47" ht="18" customHeight="1">
      <c r="O160" s="2" t="str">
        <f t="shared" si="26"/>
        <v>STAGE 4 洞窟データ</v>
      </c>
      <c r="X160" s="7" t="str">
        <f t="shared" si="27"/>
        <v>C1F0</v>
      </c>
      <c r="Y160" s="19"/>
      <c r="Z160" s="9" t="str">
        <f t="shared" si="28"/>
        <v>:00</v>
      </c>
      <c r="AB160" s="6">
        <f t="shared" si="29"/>
        <v>8</v>
      </c>
      <c r="AC160" s="6">
        <f t="shared" si="30"/>
        <v>193</v>
      </c>
      <c r="AD160" s="6">
        <f t="shared" si="31"/>
        <v>240</v>
      </c>
      <c r="AE160" s="9">
        <f t="shared" si="35"/>
        <v>0</v>
      </c>
      <c r="AF160" s="9">
        <f t="shared" si="35"/>
        <v>0</v>
      </c>
      <c r="AG160" s="9">
        <f t="shared" si="35"/>
        <v>0</v>
      </c>
      <c r="AH160" s="9">
        <f t="shared" si="35"/>
        <v>0</v>
      </c>
      <c r="AI160" s="9">
        <f t="shared" si="35"/>
        <v>0</v>
      </c>
      <c r="AJ160" s="9">
        <f t="shared" si="35"/>
        <v>0</v>
      </c>
      <c r="AK160" s="9">
        <f t="shared" si="35"/>
        <v>0</v>
      </c>
      <c r="AL160" s="9">
        <f t="shared" si="35"/>
        <v>0</v>
      </c>
      <c r="AM160" s="10" t="str">
        <f t="shared" si="32"/>
        <v>47</v>
      </c>
      <c r="AO160" s="2" t="s">
        <v>10</v>
      </c>
      <c r="AT160" s="11">
        <f t="shared" si="33"/>
        <v>159</v>
      </c>
      <c r="AU160" s="12" t="str">
        <f t="shared" si="34"/>
        <v/>
      </c>
    </row>
    <row r="161" spans="15:47" ht="18" customHeight="1">
      <c r="O161" s="2" t="str">
        <f t="shared" si="26"/>
        <v>STAGE 4 洞窟データ</v>
      </c>
      <c r="X161" s="7" t="str">
        <f t="shared" si="27"/>
        <v>C1F8</v>
      </c>
      <c r="Y161" s="19"/>
      <c r="Z161" s="9" t="str">
        <f t="shared" si="28"/>
        <v>:00</v>
      </c>
      <c r="AB161" s="6">
        <f t="shared" si="29"/>
        <v>8</v>
      </c>
      <c r="AC161" s="6">
        <f t="shared" si="30"/>
        <v>193</v>
      </c>
      <c r="AD161" s="6">
        <f t="shared" si="31"/>
        <v>248</v>
      </c>
      <c r="AE161" s="9">
        <f t="shared" si="35"/>
        <v>0</v>
      </c>
      <c r="AF161" s="9">
        <f t="shared" si="35"/>
        <v>0</v>
      </c>
      <c r="AG161" s="9">
        <f t="shared" si="35"/>
        <v>0</v>
      </c>
      <c r="AH161" s="9">
        <f t="shared" si="35"/>
        <v>0</v>
      </c>
      <c r="AI161" s="9">
        <f t="shared" si="35"/>
        <v>0</v>
      </c>
      <c r="AJ161" s="9">
        <f t="shared" si="35"/>
        <v>0</v>
      </c>
      <c r="AK161" s="9">
        <f t="shared" si="35"/>
        <v>0</v>
      </c>
      <c r="AL161" s="9">
        <f t="shared" si="35"/>
        <v>0</v>
      </c>
      <c r="AM161" s="10" t="str">
        <f t="shared" si="32"/>
        <v>3F</v>
      </c>
      <c r="AO161" s="2" t="s">
        <v>10</v>
      </c>
      <c r="AT161" s="11">
        <f t="shared" si="33"/>
        <v>160</v>
      </c>
      <c r="AU161" s="12" t="str">
        <f t="shared" si="34"/>
        <v/>
      </c>
    </row>
    <row r="162" spans="15:47" ht="18" customHeight="1">
      <c r="O162" s="2" t="str">
        <f t="shared" ref="O162:O193" si="36">$A$11</f>
        <v>空き領域</v>
      </c>
      <c r="X162" s="7" t="str">
        <f t="shared" si="27"/>
        <v>C200</v>
      </c>
      <c r="Y162" s="19"/>
      <c r="Z162" s="9" t="str">
        <f t="shared" si="28"/>
        <v>:00</v>
      </c>
      <c r="AB162" s="6">
        <f t="shared" si="29"/>
        <v>8</v>
      </c>
      <c r="AC162" s="6">
        <f t="shared" si="30"/>
        <v>194</v>
      </c>
      <c r="AD162" s="6">
        <f t="shared" si="31"/>
        <v>0</v>
      </c>
      <c r="AE162" s="9">
        <f t="shared" si="35"/>
        <v>0</v>
      </c>
      <c r="AF162" s="9">
        <f t="shared" si="35"/>
        <v>0</v>
      </c>
      <c r="AG162" s="9">
        <f t="shared" si="35"/>
        <v>0</v>
      </c>
      <c r="AH162" s="9">
        <f t="shared" si="35"/>
        <v>0</v>
      </c>
      <c r="AI162" s="9">
        <f t="shared" si="35"/>
        <v>0</v>
      </c>
      <c r="AJ162" s="9">
        <f t="shared" si="35"/>
        <v>0</v>
      </c>
      <c r="AK162" s="9">
        <f t="shared" si="35"/>
        <v>0</v>
      </c>
      <c r="AL162" s="9">
        <f t="shared" si="35"/>
        <v>0</v>
      </c>
      <c r="AM162" s="10" t="str">
        <f t="shared" si="32"/>
        <v>36</v>
      </c>
      <c r="AO162" s="2" t="s">
        <v>10</v>
      </c>
      <c r="AT162" s="11">
        <f t="shared" si="33"/>
        <v>161</v>
      </c>
      <c r="AU162" s="12" t="str">
        <f t="shared" si="34"/>
        <v/>
      </c>
    </row>
    <row r="163" spans="15:47" ht="18" customHeight="1">
      <c r="O163" s="2" t="str">
        <f t="shared" si="36"/>
        <v>空き領域</v>
      </c>
      <c r="X163" s="7" t="str">
        <f t="shared" si="27"/>
        <v>C208</v>
      </c>
      <c r="Y163" s="19"/>
      <c r="Z163" s="9" t="str">
        <f t="shared" si="28"/>
        <v>:00</v>
      </c>
      <c r="AB163" s="6">
        <f t="shared" si="29"/>
        <v>8</v>
      </c>
      <c r="AC163" s="6">
        <f t="shared" si="30"/>
        <v>194</v>
      </c>
      <c r="AD163" s="6">
        <f t="shared" si="31"/>
        <v>8</v>
      </c>
      <c r="AE163" s="9">
        <f t="shared" si="35"/>
        <v>0</v>
      </c>
      <c r="AF163" s="9">
        <f t="shared" si="35"/>
        <v>0</v>
      </c>
      <c r="AG163" s="9">
        <f t="shared" si="35"/>
        <v>0</v>
      </c>
      <c r="AH163" s="9">
        <f t="shared" si="35"/>
        <v>0</v>
      </c>
      <c r="AI163" s="9">
        <f t="shared" si="35"/>
        <v>0</v>
      </c>
      <c r="AJ163" s="9">
        <f t="shared" si="35"/>
        <v>0</v>
      </c>
      <c r="AK163" s="9">
        <f t="shared" si="35"/>
        <v>0</v>
      </c>
      <c r="AL163" s="9">
        <f t="shared" si="35"/>
        <v>0</v>
      </c>
      <c r="AM163" s="10" t="str">
        <f t="shared" si="32"/>
        <v>2E</v>
      </c>
      <c r="AO163" s="2" t="s">
        <v>10</v>
      </c>
      <c r="AT163" s="11">
        <f t="shared" si="33"/>
        <v>162</v>
      </c>
      <c r="AU163" s="12" t="str">
        <f t="shared" si="34"/>
        <v/>
      </c>
    </row>
    <row r="164" spans="15:47" ht="18" customHeight="1">
      <c r="O164" s="2" t="str">
        <f t="shared" si="36"/>
        <v>空き領域</v>
      </c>
      <c r="X164" s="7" t="str">
        <f t="shared" si="27"/>
        <v>C210</v>
      </c>
      <c r="Y164" s="19"/>
      <c r="Z164" s="9" t="str">
        <f t="shared" si="28"/>
        <v>:00</v>
      </c>
      <c r="AB164" s="6">
        <f t="shared" si="29"/>
        <v>8</v>
      </c>
      <c r="AC164" s="6">
        <f t="shared" si="30"/>
        <v>194</v>
      </c>
      <c r="AD164" s="6">
        <f t="shared" si="31"/>
        <v>16</v>
      </c>
      <c r="AE164" s="9">
        <f t="shared" si="35"/>
        <v>0</v>
      </c>
      <c r="AF164" s="9">
        <f t="shared" si="35"/>
        <v>0</v>
      </c>
      <c r="AG164" s="9">
        <f t="shared" si="35"/>
        <v>0</v>
      </c>
      <c r="AH164" s="9">
        <f t="shared" si="35"/>
        <v>0</v>
      </c>
      <c r="AI164" s="9">
        <f t="shared" si="35"/>
        <v>0</v>
      </c>
      <c r="AJ164" s="9">
        <f t="shared" si="35"/>
        <v>0</v>
      </c>
      <c r="AK164" s="9">
        <f t="shared" si="35"/>
        <v>0</v>
      </c>
      <c r="AL164" s="9">
        <f t="shared" si="35"/>
        <v>0</v>
      </c>
      <c r="AM164" s="10" t="str">
        <f t="shared" si="32"/>
        <v>26</v>
      </c>
      <c r="AO164" s="2" t="s">
        <v>10</v>
      </c>
      <c r="AT164" s="11">
        <f t="shared" si="33"/>
        <v>163</v>
      </c>
      <c r="AU164" s="12" t="str">
        <f t="shared" si="34"/>
        <v/>
      </c>
    </row>
    <row r="165" spans="15:47" ht="18" customHeight="1">
      <c r="O165" s="2" t="str">
        <f t="shared" si="36"/>
        <v>空き領域</v>
      </c>
      <c r="X165" s="7" t="str">
        <f t="shared" si="27"/>
        <v>C218</v>
      </c>
      <c r="Y165" s="19"/>
      <c r="Z165" s="9" t="str">
        <f t="shared" si="28"/>
        <v>:00</v>
      </c>
      <c r="AB165" s="6">
        <f t="shared" si="29"/>
        <v>8</v>
      </c>
      <c r="AC165" s="6">
        <f t="shared" si="30"/>
        <v>194</v>
      </c>
      <c r="AD165" s="6">
        <f t="shared" si="31"/>
        <v>24</v>
      </c>
      <c r="AE165" s="9">
        <f t="shared" si="35"/>
        <v>0</v>
      </c>
      <c r="AF165" s="9">
        <f t="shared" si="35"/>
        <v>0</v>
      </c>
      <c r="AG165" s="9">
        <f t="shared" si="35"/>
        <v>0</v>
      </c>
      <c r="AH165" s="9">
        <f t="shared" si="35"/>
        <v>0</v>
      </c>
      <c r="AI165" s="9">
        <f t="shared" si="35"/>
        <v>0</v>
      </c>
      <c r="AJ165" s="9">
        <f t="shared" si="35"/>
        <v>0</v>
      </c>
      <c r="AK165" s="9">
        <f t="shared" si="35"/>
        <v>0</v>
      </c>
      <c r="AL165" s="9">
        <f t="shared" si="35"/>
        <v>0</v>
      </c>
      <c r="AM165" s="10" t="str">
        <f t="shared" si="32"/>
        <v>1E</v>
      </c>
      <c r="AO165" s="2" t="s">
        <v>10</v>
      </c>
      <c r="AT165" s="11">
        <f t="shared" si="33"/>
        <v>164</v>
      </c>
      <c r="AU165" s="12" t="str">
        <f t="shared" si="34"/>
        <v/>
      </c>
    </row>
    <row r="166" spans="15:47" ht="18" customHeight="1">
      <c r="O166" s="2" t="str">
        <f t="shared" si="36"/>
        <v>空き領域</v>
      </c>
      <c r="X166" s="7" t="str">
        <f t="shared" si="27"/>
        <v>C220</v>
      </c>
      <c r="Y166" s="19"/>
      <c r="Z166" s="9" t="str">
        <f t="shared" si="28"/>
        <v>:00</v>
      </c>
      <c r="AB166" s="6">
        <f t="shared" si="29"/>
        <v>8</v>
      </c>
      <c r="AC166" s="6">
        <f t="shared" si="30"/>
        <v>194</v>
      </c>
      <c r="AD166" s="6">
        <f t="shared" si="31"/>
        <v>32</v>
      </c>
      <c r="AE166" s="9">
        <f t="shared" si="35"/>
        <v>0</v>
      </c>
      <c r="AF166" s="9">
        <f t="shared" si="35"/>
        <v>0</v>
      </c>
      <c r="AG166" s="9">
        <f t="shared" si="35"/>
        <v>0</v>
      </c>
      <c r="AH166" s="9">
        <f t="shared" si="35"/>
        <v>0</v>
      </c>
      <c r="AI166" s="9">
        <f t="shared" si="35"/>
        <v>0</v>
      </c>
      <c r="AJ166" s="9">
        <f t="shared" si="35"/>
        <v>0</v>
      </c>
      <c r="AK166" s="9">
        <f t="shared" si="35"/>
        <v>0</v>
      </c>
      <c r="AL166" s="9">
        <f t="shared" si="35"/>
        <v>0</v>
      </c>
      <c r="AM166" s="10" t="str">
        <f t="shared" si="32"/>
        <v>16</v>
      </c>
      <c r="AO166" s="2" t="s">
        <v>10</v>
      </c>
      <c r="AT166" s="11">
        <f t="shared" si="33"/>
        <v>165</v>
      </c>
      <c r="AU166" s="12" t="str">
        <f t="shared" si="34"/>
        <v/>
      </c>
    </row>
    <row r="167" spans="15:47" ht="18" customHeight="1">
      <c r="O167" s="2" t="str">
        <f t="shared" si="36"/>
        <v>空き領域</v>
      </c>
      <c r="X167" s="7" t="str">
        <f t="shared" si="27"/>
        <v>C228</v>
      </c>
      <c r="Y167" s="19"/>
      <c r="Z167" s="9" t="str">
        <f t="shared" si="28"/>
        <v>:00</v>
      </c>
      <c r="AB167" s="6">
        <f t="shared" si="29"/>
        <v>8</v>
      </c>
      <c r="AC167" s="6">
        <f t="shared" si="30"/>
        <v>194</v>
      </c>
      <c r="AD167" s="6">
        <f t="shared" si="31"/>
        <v>40</v>
      </c>
      <c r="AE167" s="9">
        <f t="shared" si="35"/>
        <v>0</v>
      </c>
      <c r="AF167" s="9">
        <f t="shared" si="35"/>
        <v>0</v>
      </c>
      <c r="AG167" s="9">
        <f t="shared" si="35"/>
        <v>0</v>
      </c>
      <c r="AH167" s="9">
        <f t="shared" si="35"/>
        <v>0</v>
      </c>
      <c r="AI167" s="9">
        <f t="shared" si="35"/>
        <v>0</v>
      </c>
      <c r="AJ167" s="9">
        <f t="shared" si="35"/>
        <v>0</v>
      </c>
      <c r="AK167" s="9">
        <f t="shared" si="35"/>
        <v>0</v>
      </c>
      <c r="AL167" s="9">
        <f t="shared" si="35"/>
        <v>0</v>
      </c>
      <c r="AM167" s="10" t="str">
        <f t="shared" si="32"/>
        <v>0E</v>
      </c>
      <c r="AO167" s="2" t="s">
        <v>10</v>
      </c>
      <c r="AT167" s="11">
        <f t="shared" si="33"/>
        <v>166</v>
      </c>
      <c r="AU167" s="12" t="str">
        <f t="shared" si="34"/>
        <v/>
      </c>
    </row>
    <row r="168" spans="15:47" ht="18" customHeight="1">
      <c r="O168" s="2" t="str">
        <f t="shared" si="36"/>
        <v>空き領域</v>
      </c>
      <c r="X168" s="7" t="str">
        <f t="shared" si="27"/>
        <v>C230</v>
      </c>
      <c r="Y168" s="19"/>
      <c r="Z168" s="9" t="str">
        <f t="shared" si="28"/>
        <v>:00</v>
      </c>
      <c r="AB168" s="6">
        <f t="shared" si="29"/>
        <v>8</v>
      </c>
      <c r="AC168" s="6">
        <f t="shared" si="30"/>
        <v>194</v>
      </c>
      <c r="AD168" s="6">
        <f t="shared" si="31"/>
        <v>48</v>
      </c>
      <c r="AE168" s="9">
        <f t="shared" si="35"/>
        <v>0</v>
      </c>
      <c r="AF168" s="9">
        <f t="shared" si="35"/>
        <v>0</v>
      </c>
      <c r="AG168" s="9">
        <f t="shared" si="35"/>
        <v>0</v>
      </c>
      <c r="AH168" s="9">
        <f t="shared" si="35"/>
        <v>0</v>
      </c>
      <c r="AI168" s="9">
        <f t="shared" si="35"/>
        <v>0</v>
      </c>
      <c r="AJ168" s="9">
        <f t="shared" si="35"/>
        <v>0</v>
      </c>
      <c r="AK168" s="9">
        <f t="shared" si="35"/>
        <v>0</v>
      </c>
      <c r="AL168" s="9">
        <f t="shared" si="35"/>
        <v>0</v>
      </c>
      <c r="AM168" s="10" t="str">
        <f t="shared" si="32"/>
        <v>06</v>
      </c>
      <c r="AO168" s="2" t="s">
        <v>10</v>
      </c>
      <c r="AT168" s="11">
        <f t="shared" si="33"/>
        <v>167</v>
      </c>
      <c r="AU168" s="12" t="str">
        <f t="shared" si="34"/>
        <v/>
      </c>
    </row>
    <row r="169" spans="15:47" ht="18" customHeight="1">
      <c r="O169" s="2" t="str">
        <f t="shared" si="36"/>
        <v>空き領域</v>
      </c>
      <c r="X169" s="7" t="str">
        <f t="shared" si="27"/>
        <v>C238</v>
      </c>
      <c r="Y169" s="19"/>
      <c r="Z169" s="9" t="str">
        <f t="shared" si="28"/>
        <v>:00</v>
      </c>
      <c r="AB169" s="6">
        <f t="shared" si="29"/>
        <v>8</v>
      </c>
      <c r="AC169" s="6">
        <f t="shared" si="30"/>
        <v>194</v>
      </c>
      <c r="AD169" s="6">
        <f t="shared" si="31"/>
        <v>56</v>
      </c>
      <c r="AE169" s="9">
        <f t="shared" si="35"/>
        <v>0</v>
      </c>
      <c r="AF169" s="9">
        <f t="shared" si="35"/>
        <v>0</v>
      </c>
      <c r="AG169" s="9">
        <f t="shared" si="35"/>
        <v>0</v>
      </c>
      <c r="AH169" s="9">
        <f t="shared" si="35"/>
        <v>0</v>
      </c>
      <c r="AI169" s="9">
        <f t="shared" si="35"/>
        <v>0</v>
      </c>
      <c r="AJ169" s="9">
        <f t="shared" si="35"/>
        <v>0</v>
      </c>
      <c r="AK169" s="9">
        <f t="shared" si="35"/>
        <v>0</v>
      </c>
      <c r="AL169" s="9">
        <f t="shared" si="35"/>
        <v>0</v>
      </c>
      <c r="AM169" s="10" t="str">
        <f t="shared" si="32"/>
        <v>FE</v>
      </c>
      <c r="AO169" s="2" t="s">
        <v>10</v>
      </c>
      <c r="AT169" s="11">
        <f t="shared" si="33"/>
        <v>168</v>
      </c>
      <c r="AU169" s="12" t="str">
        <f t="shared" si="34"/>
        <v/>
      </c>
    </row>
    <row r="170" spans="15:47" ht="18" customHeight="1">
      <c r="O170" s="2" t="str">
        <f t="shared" si="36"/>
        <v>空き領域</v>
      </c>
      <c r="X170" s="7" t="str">
        <f t="shared" si="27"/>
        <v>C240</v>
      </c>
      <c r="Y170" s="19"/>
      <c r="Z170" s="9" t="str">
        <f t="shared" si="28"/>
        <v>:00</v>
      </c>
      <c r="AB170" s="6">
        <f t="shared" si="29"/>
        <v>8</v>
      </c>
      <c r="AC170" s="6">
        <f t="shared" si="30"/>
        <v>194</v>
      </c>
      <c r="AD170" s="6">
        <f t="shared" si="31"/>
        <v>64</v>
      </c>
      <c r="AE170" s="9">
        <f t="shared" si="35"/>
        <v>0</v>
      </c>
      <c r="AF170" s="9">
        <f t="shared" si="35"/>
        <v>0</v>
      </c>
      <c r="AG170" s="9">
        <f t="shared" si="35"/>
        <v>0</v>
      </c>
      <c r="AH170" s="9">
        <f t="shared" si="35"/>
        <v>0</v>
      </c>
      <c r="AI170" s="9">
        <f t="shared" si="35"/>
        <v>0</v>
      </c>
      <c r="AJ170" s="9">
        <f t="shared" si="35"/>
        <v>0</v>
      </c>
      <c r="AK170" s="9">
        <f t="shared" si="35"/>
        <v>0</v>
      </c>
      <c r="AL170" s="9">
        <f t="shared" si="35"/>
        <v>0</v>
      </c>
      <c r="AM170" s="10" t="str">
        <f t="shared" si="32"/>
        <v>F6</v>
      </c>
      <c r="AO170" s="2" t="s">
        <v>10</v>
      </c>
      <c r="AT170" s="11">
        <f t="shared" si="33"/>
        <v>169</v>
      </c>
      <c r="AU170" s="12" t="str">
        <f t="shared" si="34"/>
        <v/>
      </c>
    </row>
    <row r="171" spans="15:47" ht="18" customHeight="1">
      <c r="O171" s="2" t="str">
        <f t="shared" si="36"/>
        <v>空き領域</v>
      </c>
      <c r="X171" s="7" t="str">
        <f t="shared" si="27"/>
        <v>C248</v>
      </c>
      <c r="Y171" s="19"/>
      <c r="Z171" s="9" t="str">
        <f t="shared" si="28"/>
        <v>:00</v>
      </c>
      <c r="AB171" s="6">
        <f t="shared" si="29"/>
        <v>8</v>
      </c>
      <c r="AC171" s="6">
        <f t="shared" si="30"/>
        <v>194</v>
      </c>
      <c r="AD171" s="6">
        <f t="shared" si="31"/>
        <v>72</v>
      </c>
      <c r="AE171" s="9">
        <f t="shared" si="35"/>
        <v>0</v>
      </c>
      <c r="AF171" s="9">
        <f t="shared" si="35"/>
        <v>0</v>
      </c>
      <c r="AG171" s="9">
        <f t="shared" si="35"/>
        <v>0</v>
      </c>
      <c r="AH171" s="9">
        <f t="shared" si="35"/>
        <v>0</v>
      </c>
      <c r="AI171" s="9">
        <f t="shared" si="35"/>
        <v>0</v>
      </c>
      <c r="AJ171" s="9">
        <f t="shared" si="35"/>
        <v>0</v>
      </c>
      <c r="AK171" s="9">
        <f t="shared" si="35"/>
        <v>0</v>
      </c>
      <c r="AL171" s="9">
        <f t="shared" si="35"/>
        <v>0</v>
      </c>
      <c r="AM171" s="10" t="str">
        <f t="shared" si="32"/>
        <v>EE</v>
      </c>
      <c r="AO171" s="2" t="s">
        <v>10</v>
      </c>
      <c r="AT171" s="11">
        <f t="shared" si="33"/>
        <v>170</v>
      </c>
      <c r="AU171" s="12" t="str">
        <f t="shared" si="34"/>
        <v/>
      </c>
    </row>
    <row r="172" spans="15:47" ht="18" customHeight="1">
      <c r="O172" s="2" t="str">
        <f t="shared" si="36"/>
        <v>空き領域</v>
      </c>
      <c r="X172" s="7" t="str">
        <f t="shared" si="27"/>
        <v>C250</v>
      </c>
      <c r="Y172" s="19"/>
      <c r="Z172" s="9" t="str">
        <f t="shared" si="28"/>
        <v>:00</v>
      </c>
      <c r="AB172" s="6">
        <f t="shared" si="29"/>
        <v>8</v>
      </c>
      <c r="AC172" s="6">
        <f t="shared" si="30"/>
        <v>194</v>
      </c>
      <c r="AD172" s="6">
        <f t="shared" si="31"/>
        <v>80</v>
      </c>
      <c r="AE172" s="9">
        <f t="shared" si="35"/>
        <v>0</v>
      </c>
      <c r="AF172" s="9">
        <f t="shared" si="35"/>
        <v>0</v>
      </c>
      <c r="AG172" s="9">
        <f t="shared" si="35"/>
        <v>0</v>
      </c>
      <c r="AH172" s="9">
        <f t="shared" si="35"/>
        <v>0</v>
      </c>
      <c r="AI172" s="9">
        <f t="shared" si="35"/>
        <v>0</v>
      </c>
      <c r="AJ172" s="9">
        <f t="shared" si="35"/>
        <v>0</v>
      </c>
      <c r="AK172" s="9">
        <f t="shared" si="35"/>
        <v>0</v>
      </c>
      <c r="AL172" s="9">
        <f t="shared" si="35"/>
        <v>0</v>
      </c>
      <c r="AM172" s="10" t="str">
        <f t="shared" si="32"/>
        <v>E6</v>
      </c>
      <c r="AO172" s="2" t="s">
        <v>10</v>
      </c>
      <c r="AT172" s="11">
        <f t="shared" si="33"/>
        <v>171</v>
      </c>
      <c r="AU172" s="12" t="str">
        <f t="shared" si="34"/>
        <v/>
      </c>
    </row>
    <row r="173" spans="15:47" ht="18" customHeight="1">
      <c r="O173" s="2" t="str">
        <f t="shared" si="36"/>
        <v>空き領域</v>
      </c>
      <c r="X173" s="7" t="str">
        <f t="shared" si="27"/>
        <v>C258</v>
      </c>
      <c r="Y173" s="19"/>
      <c r="Z173" s="9" t="str">
        <f t="shared" si="28"/>
        <v>:00</v>
      </c>
      <c r="AB173" s="6">
        <f t="shared" si="29"/>
        <v>8</v>
      </c>
      <c r="AC173" s="6">
        <f t="shared" si="30"/>
        <v>194</v>
      </c>
      <c r="AD173" s="6">
        <f t="shared" si="31"/>
        <v>88</v>
      </c>
      <c r="AE173" s="9">
        <f t="shared" si="35"/>
        <v>0</v>
      </c>
      <c r="AF173" s="9">
        <f t="shared" si="35"/>
        <v>0</v>
      </c>
      <c r="AG173" s="9">
        <f t="shared" si="35"/>
        <v>0</v>
      </c>
      <c r="AH173" s="9">
        <f t="shared" si="35"/>
        <v>0</v>
      </c>
      <c r="AI173" s="9">
        <f t="shared" si="35"/>
        <v>0</v>
      </c>
      <c r="AJ173" s="9">
        <f t="shared" si="35"/>
        <v>0</v>
      </c>
      <c r="AK173" s="9">
        <f t="shared" si="35"/>
        <v>0</v>
      </c>
      <c r="AL173" s="9">
        <f t="shared" si="35"/>
        <v>0</v>
      </c>
      <c r="AM173" s="10" t="str">
        <f t="shared" si="32"/>
        <v>DE</v>
      </c>
      <c r="AO173" s="2" t="s">
        <v>10</v>
      </c>
      <c r="AT173" s="11">
        <f t="shared" si="33"/>
        <v>172</v>
      </c>
      <c r="AU173" s="12" t="str">
        <f t="shared" si="34"/>
        <v/>
      </c>
    </row>
    <row r="174" spans="15:47" ht="18" customHeight="1">
      <c r="O174" s="2" t="str">
        <f t="shared" si="36"/>
        <v>空き領域</v>
      </c>
      <c r="X174" s="7" t="str">
        <f t="shared" si="27"/>
        <v>C260</v>
      </c>
      <c r="Y174" s="19"/>
      <c r="Z174" s="9" t="str">
        <f t="shared" si="28"/>
        <v>:00</v>
      </c>
      <c r="AB174" s="6">
        <f t="shared" si="29"/>
        <v>8</v>
      </c>
      <c r="AC174" s="6">
        <f t="shared" si="30"/>
        <v>194</v>
      </c>
      <c r="AD174" s="6">
        <f t="shared" si="31"/>
        <v>96</v>
      </c>
      <c r="AE174" s="9">
        <f t="shared" si="35"/>
        <v>0</v>
      </c>
      <c r="AF174" s="9">
        <f t="shared" si="35"/>
        <v>0</v>
      </c>
      <c r="AG174" s="9">
        <f t="shared" si="35"/>
        <v>0</v>
      </c>
      <c r="AH174" s="9">
        <f t="shared" si="35"/>
        <v>0</v>
      </c>
      <c r="AI174" s="9">
        <f t="shared" si="35"/>
        <v>0</v>
      </c>
      <c r="AJ174" s="9">
        <f t="shared" si="35"/>
        <v>0</v>
      </c>
      <c r="AK174" s="9">
        <f t="shared" si="35"/>
        <v>0</v>
      </c>
      <c r="AL174" s="9">
        <f t="shared" si="35"/>
        <v>0</v>
      </c>
      <c r="AM174" s="10" t="str">
        <f t="shared" si="32"/>
        <v>D6</v>
      </c>
      <c r="AO174" s="2" t="s">
        <v>10</v>
      </c>
      <c r="AT174" s="11">
        <f t="shared" si="33"/>
        <v>173</v>
      </c>
      <c r="AU174" s="12" t="str">
        <f t="shared" si="34"/>
        <v/>
      </c>
    </row>
    <row r="175" spans="15:47" ht="18" customHeight="1">
      <c r="O175" s="2" t="str">
        <f t="shared" si="36"/>
        <v>空き領域</v>
      </c>
      <c r="X175" s="7" t="str">
        <f t="shared" si="27"/>
        <v>C268</v>
      </c>
      <c r="Y175" s="19"/>
      <c r="Z175" s="9" t="str">
        <f t="shared" si="28"/>
        <v>:00</v>
      </c>
      <c r="AB175" s="6">
        <f t="shared" si="29"/>
        <v>8</v>
      </c>
      <c r="AC175" s="6">
        <f t="shared" si="30"/>
        <v>194</v>
      </c>
      <c r="AD175" s="6">
        <f t="shared" si="31"/>
        <v>104</v>
      </c>
      <c r="AE175" s="9">
        <f t="shared" si="35"/>
        <v>0</v>
      </c>
      <c r="AF175" s="9">
        <f t="shared" si="35"/>
        <v>0</v>
      </c>
      <c r="AG175" s="9">
        <f t="shared" si="35"/>
        <v>0</v>
      </c>
      <c r="AH175" s="9">
        <f t="shared" si="35"/>
        <v>0</v>
      </c>
      <c r="AI175" s="9">
        <f t="shared" si="35"/>
        <v>0</v>
      </c>
      <c r="AJ175" s="9">
        <f t="shared" si="35"/>
        <v>0</v>
      </c>
      <c r="AK175" s="9">
        <f t="shared" si="35"/>
        <v>0</v>
      </c>
      <c r="AL175" s="9">
        <f t="shared" si="35"/>
        <v>0</v>
      </c>
      <c r="AM175" s="10" t="str">
        <f t="shared" si="32"/>
        <v>CE</v>
      </c>
      <c r="AO175" s="2" t="s">
        <v>10</v>
      </c>
      <c r="AT175" s="11">
        <f t="shared" si="33"/>
        <v>174</v>
      </c>
      <c r="AU175" s="12" t="str">
        <f t="shared" si="34"/>
        <v/>
      </c>
    </row>
    <row r="176" spans="15:47" ht="18" customHeight="1">
      <c r="O176" s="2" t="str">
        <f t="shared" si="36"/>
        <v>空き領域</v>
      </c>
      <c r="X176" s="7" t="str">
        <f t="shared" si="27"/>
        <v>C270</v>
      </c>
      <c r="Y176" s="19"/>
      <c r="Z176" s="9" t="str">
        <f t="shared" si="28"/>
        <v>:00</v>
      </c>
      <c r="AB176" s="6">
        <f t="shared" si="29"/>
        <v>8</v>
      </c>
      <c r="AC176" s="6">
        <f t="shared" si="30"/>
        <v>194</v>
      </c>
      <c r="AD176" s="6">
        <f t="shared" si="31"/>
        <v>112</v>
      </c>
      <c r="AE176" s="9">
        <f t="shared" si="35"/>
        <v>0</v>
      </c>
      <c r="AF176" s="9">
        <f t="shared" si="35"/>
        <v>0</v>
      </c>
      <c r="AG176" s="9">
        <f t="shared" si="35"/>
        <v>0</v>
      </c>
      <c r="AH176" s="9">
        <f t="shared" si="35"/>
        <v>0</v>
      </c>
      <c r="AI176" s="9">
        <f t="shared" si="35"/>
        <v>0</v>
      </c>
      <c r="AJ176" s="9">
        <f t="shared" si="35"/>
        <v>0</v>
      </c>
      <c r="AK176" s="9">
        <f t="shared" si="35"/>
        <v>0</v>
      </c>
      <c r="AL176" s="9">
        <f t="shared" si="35"/>
        <v>0</v>
      </c>
      <c r="AM176" s="10" t="str">
        <f t="shared" si="32"/>
        <v>C6</v>
      </c>
      <c r="AO176" s="2" t="s">
        <v>10</v>
      </c>
      <c r="AT176" s="11">
        <f t="shared" si="33"/>
        <v>175</v>
      </c>
      <c r="AU176" s="12" t="str">
        <f t="shared" si="34"/>
        <v/>
      </c>
    </row>
    <row r="177" spans="15:47" ht="18" customHeight="1">
      <c r="O177" s="2" t="str">
        <f t="shared" si="36"/>
        <v>空き領域</v>
      </c>
      <c r="X177" s="7" t="str">
        <f t="shared" si="27"/>
        <v>C278</v>
      </c>
      <c r="Y177" s="19"/>
      <c r="Z177" s="9" t="str">
        <f t="shared" si="28"/>
        <v>:00</v>
      </c>
      <c r="AB177" s="6">
        <f t="shared" si="29"/>
        <v>8</v>
      </c>
      <c r="AC177" s="6">
        <f t="shared" si="30"/>
        <v>194</v>
      </c>
      <c r="AD177" s="6">
        <f t="shared" si="31"/>
        <v>120</v>
      </c>
      <c r="AE177" s="9">
        <f t="shared" si="35"/>
        <v>0</v>
      </c>
      <c r="AF177" s="9">
        <f t="shared" si="35"/>
        <v>0</v>
      </c>
      <c r="AG177" s="9">
        <f t="shared" si="35"/>
        <v>0</v>
      </c>
      <c r="AH177" s="9">
        <f t="shared" si="35"/>
        <v>0</v>
      </c>
      <c r="AI177" s="9">
        <f t="shared" si="35"/>
        <v>0</v>
      </c>
      <c r="AJ177" s="9">
        <f t="shared" si="35"/>
        <v>0</v>
      </c>
      <c r="AK177" s="9">
        <f t="shared" si="35"/>
        <v>0</v>
      </c>
      <c r="AL177" s="9">
        <f t="shared" si="35"/>
        <v>0</v>
      </c>
      <c r="AM177" s="10" t="str">
        <f t="shared" si="32"/>
        <v>BE</v>
      </c>
      <c r="AO177" s="2" t="s">
        <v>10</v>
      </c>
      <c r="AT177" s="11">
        <f t="shared" si="33"/>
        <v>176</v>
      </c>
      <c r="AU177" s="12" t="str">
        <f t="shared" si="34"/>
        <v/>
      </c>
    </row>
    <row r="178" spans="15:47" ht="18" customHeight="1">
      <c r="O178" s="2" t="str">
        <f t="shared" si="36"/>
        <v>空き領域</v>
      </c>
      <c r="X178" s="7" t="str">
        <f t="shared" si="27"/>
        <v>C280</v>
      </c>
      <c r="Y178" s="19"/>
      <c r="Z178" s="9" t="str">
        <f t="shared" si="28"/>
        <v>:00</v>
      </c>
      <c r="AB178" s="6">
        <f t="shared" si="29"/>
        <v>8</v>
      </c>
      <c r="AC178" s="6">
        <f t="shared" si="30"/>
        <v>194</v>
      </c>
      <c r="AD178" s="6">
        <f t="shared" si="31"/>
        <v>128</v>
      </c>
      <c r="AE178" s="9">
        <f t="shared" si="35"/>
        <v>0</v>
      </c>
      <c r="AF178" s="9">
        <f t="shared" si="35"/>
        <v>0</v>
      </c>
      <c r="AG178" s="9">
        <f t="shared" si="35"/>
        <v>0</v>
      </c>
      <c r="AH178" s="9">
        <f t="shared" si="35"/>
        <v>0</v>
      </c>
      <c r="AI178" s="9">
        <f t="shared" si="35"/>
        <v>0</v>
      </c>
      <c r="AJ178" s="9">
        <f t="shared" si="35"/>
        <v>0</v>
      </c>
      <c r="AK178" s="9">
        <f t="shared" si="35"/>
        <v>0</v>
      </c>
      <c r="AL178" s="9">
        <f t="shared" si="35"/>
        <v>0</v>
      </c>
      <c r="AM178" s="10" t="str">
        <f t="shared" si="32"/>
        <v>B6</v>
      </c>
      <c r="AO178" s="2" t="s">
        <v>10</v>
      </c>
      <c r="AT178" s="11">
        <f t="shared" si="33"/>
        <v>177</v>
      </c>
      <c r="AU178" s="12" t="str">
        <f t="shared" si="34"/>
        <v/>
      </c>
    </row>
    <row r="179" spans="15:47" ht="18" customHeight="1">
      <c r="O179" s="2" t="str">
        <f t="shared" si="36"/>
        <v>空き領域</v>
      </c>
      <c r="X179" s="7" t="str">
        <f t="shared" si="27"/>
        <v>C288</v>
      </c>
      <c r="Y179" s="19"/>
      <c r="Z179" s="9" t="str">
        <f t="shared" si="28"/>
        <v>:00</v>
      </c>
      <c r="AB179" s="6">
        <f t="shared" si="29"/>
        <v>8</v>
      </c>
      <c r="AC179" s="6">
        <f t="shared" si="30"/>
        <v>194</v>
      </c>
      <c r="AD179" s="6">
        <f t="shared" si="31"/>
        <v>136</v>
      </c>
      <c r="AE179" s="9">
        <f t="shared" si="35"/>
        <v>0</v>
      </c>
      <c r="AF179" s="9">
        <f t="shared" si="35"/>
        <v>0</v>
      </c>
      <c r="AG179" s="9">
        <f t="shared" si="35"/>
        <v>0</v>
      </c>
      <c r="AH179" s="9">
        <f t="shared" si="35"/>
        <v>0</v>
      </c>
      <c r="AI179" s="9">
        <f t="shared" si="35"/>
        <v>0</v>
      </c>
      <c r="AJ179" s="9">
        <f t="shared" si="35"/>
        <v>0</v>
      </c>
      <c r="AK179" s="9">
        <f t="shared" si="35"/>
        <v>0</v>
      </c>
      <c r="AL179" s="9">
        <f t="shared" si="35"/>
        <v>0</v>
      </c>
      <c r="AM179" s="10" t="str">
        <f t="shared" si="32"/>
        <v>AE</v>
      </c>
      <c r="AO179" s="2" t="s">
        <v>10</v>
      </c>
      <c r="AT179" s="11">
        <f t="shared" si="33"/>
        <v>178</v>
      </c>
      <c r="AU179" s="12" t="str">
        <f t="shared" si="34"/>
        <v/>
      </c>
    </row>
    <row r="180" spans="15:47" ht="18" customHeight="1">
      <c r="O180" s="2" t="str">
        <f t="shared" si="36"/>
        <v>空き領域</v>
      </c>
      <c r="X180" s="7" t="str">
        <f t="shared" si="27"/>
        <v>C290</v>
      </c>
      <c r="Y180" s="19"/>
      <c r="Z180" s="9" t="str">
        <f t="shared" si="28"/>
        <v>:00</v>
      </c>
      <c r="AB180" s="6">
        <f t="shared" si="29"/>
        <v>8</v>
      </c>
      <c r="AC180" s="6">
        <f t="shared" si="30"/>
        <v>194</v>
      </c>
      <c r="AD180" s="6">
        <f t="shared" si="31"/>
        <v>144</v>
      </c>
      <c r="AE180" s="9">
        <f t="shared" si="35"/>
        <v>0</v>
      </c>
      <c r="AF180" s="9">
        <f t="shared" si="35"/>
        <v>0</v>
      </c>
      <c r="AG180" s="9">
        <f t="shared" si="35"/>
        <v>0</v>
      </c>
      <c r="AH180" s="9">
        <f t="shared" si="35"/>
        <v>0</v>
      </c>
      <c r="AI180" s="9">
        <f t="shared" si="35"/>
        <v>0</v>
      </c>
      <c r="AJ180" s="9">
        <f t="shared" si="35"/>
        <v>0</v>
      </c>
      <c r="AK180" s="9">
        <f t="shared" si="35"/>
        <v>0</v>
      </c>
      <c r="AL180" s="9">
        <f t="shared" si="35"/>
        <v>0</v>
      </c>
      <c r="AM180" s="10" t="str">
        <f t="shared" si="32"/>
        <v>A6</v>
      </c>
      <c r="AO180" s="2" t="s">
        <v>10</v>
      </c>
      <c r="AT180" s="11">
        <f t="shared" si="33"/>
        <v>179</v>
      </c>
      <c r="AU180" s="12" t="str">
        <f t="shared" si="34"/>
        <v/>
      </c>
    </row>
    <row r="181" spans="15:47" ht="18" customHeight="1">
      <c r="O181" s="2" t="str">
        <f t="shared" si="36"/>
        <v>空き領域</v>
      </c>
      <c r="X181" s="7" t="str">
        <f t="shared" si="27"/>
        <v>C298</v>
      </c>
      <c r="Y181" s="19"/>
      <c r="Z181" s="9" t="str">
        <f t="shared" si="28"/>
        <v>:00</v>
      </c>
      <c r="AB181" s="6">
        <f t="shared" si="29"/>
        <v>8</v>
      </c>
      <c r="AC181" s="6">
        <f t="shared" si="30"/>
        <v>194</v>
      </c>
      <c r="AD181" s="6">
        <f t="shared" si="31"/>
        <v>152</v>
      </c>
      <c r="AE181" s="9">
        <f t="shared" si="35"/>
        <v>0</v>
      </c>
      <c r="AF181" s="9">
        <f t="shared" si="35"/>
        <v>0</v>
      </c>
      <c r="AG181" s="9">
        <f t="shared" si="35"/>
        <v>0</v>
      </c>
      <c r="AH181" s="9">
        <f t="shared" si="35"/>
        <v>0</v>
      </c>
      <c r="AI181" s="9">
        <f t="shared" si="35"/>
        <v>0</v>
      </c>
      <c r="AJ181" s="9">
        <f t="shared" si="35"/>
        <v>0</v>
      </c>
      <c r="AK181" s="9">
        <f t="shared" si="35"/>
        <v>0</v>
      </c>
      <c r="AL181" s="9">
        <f t="shared" si="35"/>
        <v>0</v>
      </c>
      <c r="AM181" s="10" t="str">
        <f t="shared" si="32"/>
        <v>9E</v>
      </c>
      <c r="AO181" s="2" t="s">
        <v>10</v>
      </c>
      <c r="AT181" s="11">
        <f t="shared" si="33"/>
        <v>180</v>
      </c>
      <c r="AU181" s="12" t="str">
        <f t="shared" si="34"/>
        <v/>
      </c>
    </row>
    <row r="182" spans="15:47" ht="18" customHeight="1">
      <c r="O182" s="2" t="str">
        <f t="shared" si="36"/>
        <v>空き領域</v>
      </c>
      <c r="X182" s="7" t="str">
        <f t="shared" si="27"/>
        <v>C2A0</v>
      </c>
      <c r="Y182" s="19"/>
      <c r="Z182" s="9" t="str">
        <f t="shared" si="28"/>
        <v>:00</v>
      </c>
      <c r="AB182" s="6">
        <f t="shared" si="29"/>
        <v>8</v>
      </c>
      <c r="AC182" s="6">
        <f t="shared" si="30"/>
        <v>194</v>
      </c>
      <c r="AD182" s="6">
        <f t="shared" si="31"/>
        <v>160</v>
      </c>
      <c r="AE182" s="9">
        <f t="shared" ref="AE182:AL213" si="37">HEX2DEC(MID($Y182,(COLUMN(AE182) - COLUMN($AE182)) * 2 + 1,2))</f>
        <v>0</v>
      </c>
      <c r="AF182" s="9">
        <f t="shared" si="37"/>
        <v>0</v>
      </c>
      <c r="AG182" s="9">
        <f t="shared" si="37"/>
        <v>0</v>
      </c>
      <c r="AH182" s="9">
        <f t="shared" si="37"/>
        <v>0</v>
      </c>
      <c r="AI182" s="9">
        <f t="shared" si="37"/>
        <v>0</v>
      </c>
      <c r="AJ182" s="9">
        <f t="shared" si="37"/>
        <v>0</v>
      </c>
      <c r="AK182" s="9">
        <f t="shared" si="37"/>
        <v>0</v>
      </c>
      <c r="AL182" s="9">
        <f t="shared" si="37"/>
        <v>0</v>
      </c>
      <c r="AM182" s="10" t="str">
        <f t="shared" si="32"/>
        <v>96</v>
      </c>
      <c r="AO182" s="2" t="s">
        <v>10</v>
      </c>
      <c r="AT182" s="11">
        <f t="shared" si="33"/>
        <v>181</v>
      </c>
      <c r="AU182" s="12" t="str">
        <f t="shared" si="34"/>
        <v/>
      </c>
    </row>
    <row r="183" spans="15:47" ht="18" customHeight="1">
      <c r="O183" s="2" t="str">
        <f t="shared" si="36"/>
        <v>空き領域</v>
      </c>
      <c r="X183" s="7" t="str">
        <f t="shared" si="27"/>
        <v>C2A8</v>
      </c>
      <c r="Y183" s="19"/>
      <c r="Z183" s="9" t="str">
        <f t="shared" si="28"/>
        <v>:00</v>
      </c>
      <c r="AB183" s="6">
        <f t="shared" si="29"/>
        <v>8</v>
      </c>
      <c r="AC183" s="6">
        <f t="shared" si="30"/>
        <v>194</v>
      </c>
      <c r="AD183" s="6">
        <f t="shared" si="31"/>
        <v>168</v>
      </c>
      <c r="AE183" s="9">
        <f t="shared" si="37"/>
        <v>0</v>
      </c>
      <c r="AF183" s="9">
        <f t="shared" si="37"/>
        <v>0</v>
      </c>
      <c r="AG183" s="9">
        <f t="shared" si="37"/>
        <v>0</v>
      </c>
      <c r="AH183" s="9">
        <f t="shared" si="37"/>
        <v>0</v>
      </c>
      <c r="AI183" s="9">
        <f t="shared" si="37"/>
        <v>0</v>
      </c>
      <c r="AJ183" s="9">
        <f t="shared" si="37"/>
        <v>0</v>
      </c>
      <c r="AK183" s="9">
        <f t="shared" si="37"/>
        <v>0</v>
      </c>
      <c r="AL183" s="9">
        <f t="shared" si="37"/>
        <v>0</v>
      </c>
      <c r="AM183" s="10" t="str">
        <f t="shared" si="32"/>
        <v>8E</v>
      </c>
      <c r="AO183" s="2" t="s">
        <v>10</v>
      </c>
      <c r="AT183" s="11">
        <f t="shared" si="33"/>
        <v>182</v>
      </c>
      <c r="AU183" s="12" t="str">
        <f t="shared" si="34"/>
        <v/>
      </c>
    </row>
    <row r="184" spans="15:47" ht="18" customHeight="1">
      <c r="O184" s="2" t="str">
        <f t="shared" si="36"/>
        <v>空き領域</v>
      </c>
      <c r="X184" s="7" t="str">
        <f t="shared" si="27"/>
        <v>C2B0</v>
      </c>
      <c r="Y184" s="19"/>
      <c r="Z184" s="9" t="str">
        <f t="shared" si="28"/>
        <v>:00</v>
      </c>
      <c r="AB184" s="6">
        <f t="shared" si="29"/>
        <v>8</v>
      </c>
      <c r="AC184" s="6">
        <f t="shared" si="30"/>
        <v>194</v>
      </c>
      <c r="AD184" s="6">
        <f t="shared" si="31"/>
        <v>176</v>
      </c>
      <c r="AE184" s="9">
        <f t="shared" si="37"/>
        <v>0</v>
      </c>
      <c r="AF184" s="9">
        <f t="shared" si="37"/>
        <v>0</v>
      </c>
      <c r="AG184" s="9">
        <f t="shared" si="37"/>
        <v>0</v>
      </c>
      <c r="AH184" s="9">
        <f t="shared" si="37"/>
        <v>0</v>
      </c>
      <c r="AI184" s="9">
        <f t="shared" si="37"/>
        <v>0</v>
      </c>
      <c r="AJ184" s="9">
        <f t="shared" si="37"/>
        <v>0</v>
      </c>
      <c r="AK184" s="9">
        <f t="shared" si="37"/>
        <v>0</v>
      </c>
      <c r="AL184" s="9">
        <f t="shared" si="37"/>
        <v>0</v>
      </c>
      <c r="AM184" s="10" t="str">
        <f t="shared" si="32"/>
        <v>86</v>
      </c>
      <c r="AO184" s="2" t="s">
        <v>10</v>
      </c>
      <c r="AT184" s="11">
        <f t="shared" si="33"/>
        <v>183</v>
      </c>
      <c r="AU184" s="12" t="str">
        <f t="shared" si="34"/>
        <v/>
      </c>
    </row>
    <row r="185" spans="15:47" ht="18" customHeight="1">
      <c r="O185" s="2" t="str">
        <f t="shared" si="36"/>
        <v>空き領域</v>
      </c>
      <c r="X185" s="7" t="str">
        <f t="shared" si="27"/>
        <v>C2B8</v>
      </c>
      <c r="Y185" s="19"/>
      <c r="Z185" s="9" t="str">
        <f t="shared" si="28"/>
        <v>:00</v>
      </c>
      <c r="AB185" s="6">
        <f t="shared" si="29"/>
        <v>8</v>
      </c>
      <c r="AC185" s="6">
        <f t="shared" si="30"/>
        <v>194</v>
      </c>
      <c r="AD185" s="6">
        <f t="shared" si="31"/>
        <v>184</v>
      </c>
      <c r="AE185" s="9">
        <f t="shared" si="37"/>
        <v>0</v>
      </c>
      <c r="AF185" s="9">
        <f t="shared" si="37"/>
        <v>0</v>
      </c>
      <c r="AG185" s="9">
        <f t="shared" si="37"/>
        <v>0</v>
      </c>
      <c r="AH185" s="9">
        <f t="shared" si="37"/>
        <v>0</v>
      </c>
      <c r="AI185" s="9">
        <f t="shared" si="37"/>
        <v>0</v>
      </c>
      <c r="AJ185" s="9">
        <f t="shared" si="37"/>
        <v>0</v>
      </c>
      <c r="AK185" s="9">
        <f t="shared" si="37"/>
        <v>0</v>
      </c>
      <c r="AL185" s="9">
        <f t="shared" si="37"/>
        <v>0</v>
      </c>
      <c r="AM185" s="10" t="str">
        <f t="shared" si="32"/>
        <v>7E</v>
      </c>
      <c r="AO185" s="2" t="s">
        <v>10</v>
      </c>
      <c r="AT185" s="11">
        <f t="shared" si="33"/>
        <v>184</v>
      </c>
      <c r="AU185" s="12" t="str">
        <f t="shared" si="34"/>
        <v/>
      </c>
    </row>
    <row r="186" spans="15:47" ht="18" customHeight="1">
      <c r="O186" s="2" t="str">
        <f t="shared" si="36"/>
        <v>空き領域</v>
      </c>
      <c r="X186" s="7" t="str">
        <f t="shared" si="27"/>
        <v>C2C0</v>
      </c>
      <c r="Y186" s="19"/>
      <c r="Z186" s="9" t="str">
        <f t="shared" si="28"/>
        <v>:00</v>
      </c>
      <c r="AB186" s="6">
        <f t="shared" si="29"/>
        <v>8</v>
      </c>
      <c r="AC186" s="6">
        <f t="shared" si="30"/>
        <v>194</v>
      </c>
      <c r="AD186" s="6">
        <f t="shared" si="31"/>
        <v>192</v>
      </c>
      <c r="AE186" s="9">
        <f t="shared" si="37"/>
        <v>0</v>
      </c>
      <c r="AF186" s="9">
        <f t="shared" si="37"/>
        <v>0</v>
      </c>
      <c r="AG186" s="9">
        <f t="shared" si="37"/>
        <v>0</v>
      </c>
      <c r="AH186" s="9">
        <f t="shared" si="37"/>
        <v>0</v>
      </c>
      <c r="AI186" s="9">
        <f t="shared" si="37"/>
        <v>0</v>
      </c>
      <c r="AJ186" s="9">
        <f t="shared" si="37"/>
        <v>0</v>
      </c>
      <c r="AK186" s="9">
        <f t="shared" si="37"/>
        <v>0</v>
      </c>
      <c r="AL186" s="9">
        <f t="shared" si="37"/>
        <v>0</v>
      </c>
      <c r="AM186" s="10" t="str">
        <f t="shared" si="32"/>
        <v>76</v>
      </c>
      <c r="AO186" s="2" t="s">
        <v>10</v>
      </c>
      <c r="AT186" s="11">
        <f t="shared" si="33"/>
        <v>185</v>
      </c>
      <c r="AU186" s="12" t="str">
        <f t="shared" si="34"/>
        <v/>
      </c>
    </row>
    <row r="187" spans="15:47" ht="18" customHeight="1">
      <c r="O187" s="2" t="str">
        <f t="shared" si="36"/>
        <v>空き領域</v>
      </c>
      <c r="X187" s="7" t="str">
        <f t="shared" si="27"/>
        <v>C2C8</v>
      </c>
      <c r="Y187" s="19"/>
      <c r="Z187" s="9" t="str">
        <f t="shared" si="28"/>
        <v>:00</v>
      </c>
      <c r="AB187" s="6">
        <f t="shared" si="29"/>
        <v>8</v>
      </c>
      <c r="AC187" s="6">
        <f t="shared" si="30"/>
        <v>194</v>
      </c>
      <c r="AD187" s="6">
        <f t="shared" si="31"/>
        <v>200</v>
      </c>
      <c r="AE187" s="9">
        <f t="shared" si="37"/>
        <v>0</v>
      </c>
      <c r="AF187" s="9">
        <f t="shared" si="37"/>
        <v>0</v>
      </c>
      <c r="AG187" s="9">
        <f t="shared" si="37"/>
        <v>0</v>
      </c>
      <c r="AH187" s="9">
        <f t="shared" si="37"/>
        <v>0</v>
      </c>
      <c r="AI187" s="9">
        <f t="shared" si="37"/>
        <v>0</v>
      </c>
      <c r="AJ187" s="9">
        <f t="shared" si="37"/>
        <v>0</v>
      </c>
      <c r="AK187" s="9">
        <f t="shared" si="37"/>
        <v>0</v>
      </c>
      <c r="AL187" s="9">
        <f t="shared" si="37"/>
        <v>0</v>
      </c>
      <c r="AM187" s="10" t="str">
        <f t="shared" si="32"/>
        <v>6E</v>
      </c>
      <c r="AO187" s="2" t="s">
        <v>10</v>
      </c>
      <c r="AT187" s="11">
        <f t="shared" si="33"/>
        <v>186</v>
      </c>
      <c r="AU187" s="12" t="str">
        <f t="shared" si="34"/>
        <v/>
      </c>
    </row>
    <row r="188" spans="15:47" ht="18" customHeight="1">
      <c r="O188" s="2" t="str">
        <f t="shared" si="36"/>
        <v>空き領域</v>
      </c>
      <c r="X188" s="7" t="str">
        <f t="shared" si="27"/>
        <v>C2D0</v>
      </c>
      <c r="Y188" s="19"/>
      <c r="Z188" s="9" t="str">
        <f t="shared" si="28"/>
        <v>:00</v>
      </c>
      <c r="AB188" s="6">
        <f t="shared" si="29"/>
        <v>8</v>
      </c>
      <c r="AC188" s="6">
        <f t="shared" si="30"/>
        <v>194</v>
      </c>
      <c r="AD188" s="6">
        <f t="shared" si="31"/>
        <v>208</v>
      </c>
      <c r="AE188" s="9">
        <f t="shared" si="37"/>
        <v>0</v>
      </c>
      <c r="AF188" s="9">
        <f t="shared" si="37"/>
        <v>0</v>
      </c>
      <c r="AG188" s="9">
        <f t="shared" si="37"/>
        <v>0</v>
      </c>
      <c r="AH188" s="9">
        <f t="shared" si="37"/>
        <v>0</v>
      </c>
      <c r="AI188" s="9">
        <f t="shared" si="37"/>
        <v>0</v>
      </c>
      <c r="AJ188" s="9">
        <f t="shared" si="37"/>
        <v>0</v>
      </c>
      <c r="AK188" s="9">
        <f t="shared" si="37"/>
        <v>0</v>
      </c>
      <c r="AL188" s="9">
        <f t="shared" si="37"/>
        <v>0</v>
      </c>
      <c r="AM188" s="10" t="str">
        <f t="shared" si="32"/>
        <v>66</v>
      </c>
      <c r="AO188" s="2" t="s">
        <v>10</v>
      </c>
      <c r="AT188" s="11">
        <f t="shared" si="33"/>
        <v>187</v>
      </c>
      <c r="AU188" s="12" t="str">
        <f t="shared" si="34"/>
        <v/>
      </c>
    </row>
    <row r="189" spans="15:47" ht="18" customHeight="1">
      <c r="O189" s="2" t="str">
        <f t="shared" si="36"/>
        <v>空き領域</v>
      </c>
      <c r="X189" s="7" t="str">
        <f t="shared" si="27"/>
        <v>C2D8</v>
      </c>
      <c r="Y189" s="19"/>
      <c r="Z189" s="9" t="str">
        <f t="shared" si="28"/>
        <v>:00</v>
      </c>
      <c r="AB189" s="6">
        <f t="shared" si="29"/>
        <v>8</v>
      </c>
      <c r="AC189" s="6">
        <f t="shared" si="30"/>
        <v>194</v>
      </c>
      <c r="AD189" s="6">
        <f t="shared" si="31"/>
        <v>216</v>
      </c>
      <c r="AE189" s="9">
        <f t="shared" si="37"/>
        <v>0</v>
      </c>
      <c r="AF189" s="9">
        <f t="shared" si="37"/>
        <v>0</v>
      </c>
      <c r="AG189" s="9">
        <f t="shared" si="37"/>
        <v>0</v>
      </c>
      <c r="AH189" s="9">
        <f t="shared" si="37"/>
        <v>0</v>
      </c>
      <c r="AI189" s="9">
        <f t="shared" si="37"/>
        <v>0</v>
      </c>
      <c r="AJ189" s="9">
        <f t="shared" si="37"/>
        <v>0</v>
      </c>
      <c r="AK189" s="9">
        <f t="shared" si="37"/>
        <v>0</v>
      </c>
      <c r="AL189" s="9">
        <f t="shared" si="37"/>
        <v>0</v>
      </c>
      <c r="AM189" s="10" t="str">
        <f t="shared" si="32"/>
        <v>5E</v>
      </c>
      <c r="AO189" s="2" t="s">
        <v>10</v>
      </c>
      <c r="AT189" s="11">
        <f t="shared" si="33"/>
        <v>188</v>
      </c>
      <c r="AU189" s="12" t="str">
        <f t="shared" si="34"/>
        <v/>
      </c>
    </row>
    <row r="190" spans="15:47" ht="18" customHeight="1">
      <c r="O190" s="2" t="str">
        <f t="shared" si="36"/>
        <v>空き領域</v>
      </c>
      <c r="X190" s="7" t="str">
        <f t="shared" si="27"/>
        <v>C2E0</v>
      </c>
      <c r="Y190" s="19"/>
      <c r="Z190" s="9" t="str">
        <f t="shared" si="28"/>
        <v>:00</v>
      </c>
      <c r="AB190" s="6">
        <f t="shared" si="29"/>
        <v>8</v>
      </c>
      <c r="AC190" s="6">
        <f t="shared" si="30"/>
        <v>194</v>
      </c>
      <c r="AD190" s="6">
        <f t="shared" si="31"/>
        <v>224</v>
      </c>
      <c r="AE190" s="9">
        <f t="shared" si="37"/>
        <v>0</v>
      </c>
      <c r="AF190" s="9">
        <f t="shared" si="37"/>
        <v>0</v>
      </c>
      <c r="AG190" s="9">
        <f t="shared" si="37"/>
        <v>0</v>
      </c>
      <c r="AH190" s="9">
        <f t="shared" si="37"/>
        <v>0</v>
      </c>
      <c r="AI190" s="9">
        <f t="shared" si="37"/>
        <v>0</v>
      </c>
      <c r="AJ190" s="9">
        <f t="shared" si="37"/>
        <v>0</v>
      </c>
      <c r="AK190" s="9">
        <f t="shared" si="37"/>
        <v>0</v>
      </c>
      <c r="AL190" s="9">
        <f t="shared" si="37"/>
        <v>0</v>
      </c>
      <c r="AM190" s="10" t="str">
        <f t="shared" si="32"/>
        <v>56</v>
      </c>
      <c r="AO190" s="2" t="s">
        <v>10</v>
      </c>
      <c r="AT190" s="11">
        <f t="shared" si="33"/>
        <v>189</v>
      </c>
      <c r="AU190" s="12" t="str">
        <f t="shared" si="34"/>
        <v/>
      </c>
    </row>
    <row r="191" spans="15:47" ht="18" customHeight="1">
      <c r="O191" s="2" t="str">
        <f t="shared" si="36"/>
        <v>空き領域</v>
      </c>
      <c r="X191" s="7" t="str">
        <f t="shared" si="27"/>
        <v>C2E8</v>
      </c>
      <c r="Y191" s="19"/>
      <c r="Z191" s="9" t="str">
        <f t="shared" si="28"/>
        <v>:00</v>
      </c>
      <c r="AB191" s="6">
        <f t="shared" si="29"/>
        <v>8</v>
      </c>
      <c r="AC191" s="6">
        <f t="shared" si="30"/>
        <v>194</v>
      </c>
      <c r="AD191" s="6">
        <f t="shared" si="31"/>
        <v>232</v>
      </c>
      <c r="AE191" s="9">
        <f t="shared" si="37"/>
        <v>0</v>
      </c>
      <c r="AF191" s="9">
        <f t="shared" si="37"/>
        <v>0</v>
      </c>
      <c r="AG191" s="9">
        <f t="shared" si="37"/>
        <v>0</v>
      </c>
      <c r="AH191" s="9">
        <f t="shared" si="37"/>
        <v>0</v>
      </c>
      <c r="AI191" s="9">
        <f t="shared" si="37"/>
        <v>0</v>
      </c>
      <c r="AJ191" s="9">
        <f t="shared" si="37"/>
        <v>0</v>
      </c>
      <c r="AK191" s="9">
        <f t="shared" si="37"/>
        <v>0</v>
      </c>
      <c r="AL191" s="9">
        <f t="shared" si="37"/>
        <v>0</v>
      </c>
      <c r="AM191" s="10" t="str">
        <f t="shared" si="32"/>
        <v>4E</v>
      </c>
      <c r="AO191" s="2" t="s">
        <v>10</v>
      </c>
      <c r="AT191" s="11">
        <f t="shared" si="33"/>
        <v>190</v>
      </c>
      <c r="AU191" s="12" t="str">
        <f t="shared" si="34"/>
        <v/>
      </c>
    </row>
    <row r="192" spans="15:47" ht="18" customHeight="1">
      <c r="O192" s="2" t="str">
        <f t="shared" si="36"/>
        <v>空き領域</v>
      </c>
      <c r="X192" s="7" t="str">
        <f t="shared" si="27"/>
        <v>C2F0</v>
      </c>
      <c r="Y192" s="19"/>
      <c r="Z192" s="9" t="str">
        <f t="shared" si="28"/>
        <v>:00</v>
      </c>
      <c r="AB192" s="6">
        <f t="shared" si="29"/>
        <v>8</v>
      </c>
      <c r="AC192" s="6">
        <f t="shared" si="30"/>
        <v>194</v>
      </c>
      <c r="AD192" s="6">
        <f t="shared" si="31"/>
        <v>240</v>
      </c>
      <c r="AE192" s="9">
        <f t="shared" si="37"/>
        <v>0</v>
      </c>
      <c r="AF192" s="9">
        <f t="shared" si="37"/>
        <v>0</v>
      </c>
      <c r="AG192" s="9">
        <f t="shared" si="37"/>
        <v>0</v>
      </c>
      <c r="AH192" s="9">
        <f t="shared" si="37"/>
        <v>0</v>
      </c>
      <c r="AI192" s="9">
        <f t="shared" si="37"/>
        <v>0</v>
      </c>
      <c r="AJ192" s="9">
        <f t="shared" si="37"/>
        <v>0</v>
      </c>
      <c r="AK192" s="9">
        <f t="shared" si="37"/>
        <v>0</v>
      </c>
      <c r="AL192" s="9">
        <f t="shared" si="37"/>
        <v>0</v>
      </c>
      <c r="AM192" s="10" t="str">
        <f t="shared" si="32"/>
        <v>46</v>
      </c>
      <c r="AO192" s="2" t="s">
        <v>10</v>
      </c>
      <c r="AT192" s="11">
        <f t="shared" si="33"/>
        <v>191</v>
      </c>
      <c r="AU192" s="12" t="str">
        <f t="shared" si="34"/>
        <v/>
      </c>
    </row>
    <row r="193" spans="15:47" ht="18" customHeight="1">
      <c r="O193" s="2" t="str">
        <f t="shared" si="36"/>
        <v>空き領域</v>
      </c>
      <c r="X193" s="7" t="str">
        <f t="shared" si="27"/>
        <v>C2F8</v>
      </c>
      <c r="Y193" s="19"/>
      <c r="Z193" s="9" t="str">
        <f t="shared" si="28"/>
        <v>:00</v>
      </c>
      <c r="AB193" s="6">
        <f t="shared" si="29"/>
        <v>8</v>
      </c>
      <c r="AC193" s="6">
        <f t="shared" si="30"/>
        <v>194</v>
      </c>
      <c r="AD193" s="6">
        <f t="shared" si="31"/>
        <v>248</v>
      </c>
      <c r="AE193" s="9">
        <f t="shared" si="37"/>
        <v>0</v>
      </c>
      <c r="AF193" s="9">
        <f t="shared" si="37"/>
        <v>0</v>
      </c>
      <c r="AG193" s="9">
        <f t="shared" si="37"/>
        <v>0</v>
      </c>
      <c r="AH193" s="9">
        <f t="shared" si="37"/>
        <v>0</v>
      </c>
      <c r="AI193" s="9">
        <f t="shared" si="37"/>
        <v>0</v>
      </c>
      <c r="AJ193" s="9">
        <f t="shared" si="37"/>
        <v>0</v>
      </c>
      <c r="AK193" s="9">
        <f t="shared" si="37"/>
        <v>0</v>
      </c>
      <c r="AL193" s="9">
        <f t="shared" si="37"/>
        <v>0</v>
      </c>
      <c r="AM193" s="10" t="str">
        <f t="shared" si="32"/>
        <v>3E</v>
      </c>
      <c r="AO193" s="2" t="s">
        <v>10</v>
      </c>
      <c r="AT193" s="11">
        <f t="shared" si="33"/>
        <v>192</v>
      </c>
      <c r="AU193" s="12" t="str">
        <f t="shared" si="34"/>
        <v/>
      </c>
    </row>
    <row r="194" spans="15:47" ht="18" customHeight="1">
      <c r="O194" s="2" t="str">
        <f t="shared" ref="O194:O228" si="38">$A$12</f>
        <v>STAGE 1, 3, 4 メイン・ルーチン</v>
      </c>
      <c r="X194" s="7" t="str">
        <f t="shared" si="27"/>
        <v>C300</v>
      </c>
      <c r="Y194" s="19"/>
      <c r="Z194" s="9" t="str">
        <f t="shared" si="28"/>
        <v>:00</v>
      </c>
      <c r="AB194" s="6">
        <f t="shared" si="29"/>
        <v>8</v>
      </c>
      <c r="AC194" s="6">
        <f t="shared" si="30"/>
        <v>195</v>
      </c>
      <c r="AD194" s="6">
        <f t="shared" si="31"/>
        <v>0</v>
      </c>
      <c r="AE194" s="9">
        <f t="shared" si="37"/>
        <v>0</v>
      </c>
      <c r="AF194" s="9">
        <f t="shared" si="37"/>
        <v>0</v>
      </c>
      <c r="AG194" s="9">
        <f t="shared" si="37"/>
        <v>0</v>
      </c>
      <c r="AH194" s="9">
        <f t="shared" si="37"/>
        <v>0</v>
      </c>
      <c r="AI194" s="9">
        <f t="shared" si="37"/>
        <v>0</v>
      </c>
      <c r="AJ194" s="9">
        <f t="shared" si="37"/>
        <v>0</v>
      </c>
      <c r="AK194" s="9">
        <f t="shared" si="37"/>
        <v>0</v>
      </c>
      <c r="AL194" s="9">
        <f t="shared" si="37"/>
        <v>0</v>
      </c>
      <c r="AM194" s="10" t="str">
        <f t="shared" si="32"/>
        <v>35</v>
      </c>
      <c r="AO194" s="2" t="s">
        <v>10</v>
      </c>
      <c r="AT194" s="11">
        <f t="shared" si="33"/>
        <v>193</v>
      </c>
      <c r="AU194" s="12" t="str">
        <f t="shared" si="34"/>
        <v/>
      </c>
    </row>
    <row r="195" spans="15:47" ht="18" customHeight="1">
      <c r="O195" s="2" t="str">
        <f t="shared" si="38"/>
        <v>STAGE 1, 3, 4 メイン・ルーチン</v>
      </c>
      <c r="X195" s="7" t="str">
        <f t="shared" ref="X195:X258" si="39">DEC2HEX(AC195,2)&amp;DEC2HEX(AD195,2)</f>
        <v>C308</v>
      </c>
      <c r="Y195" s="19"/>
      <c r="Z195" s="9" t="str">
        <f t="shared" ref="Z195:Z258" si="40">":" &amp; RIGHT(DEC2HEX(SUM(AE195:AL195),3),2)</f>
        <v>:00</v>
      </c>
      <c r="AB195" s="6">
        <f t="shared" ref="AB195:AB258" si="41">$E$2</f>
        <v>8</v>
      </c>
      <c r="AC195" s="6">
        <f t="shared" ref="AC195:AC258" si="42">HEX2DEC(LEFT(DEC2HEX(HEX2DEC($E$3)+(ROW($AC195)-ROW($AC$2))*$E$2,4),2))</f>
        <v>195</v>
      </c>
      <c r="AD195" s="6">
        <f t="shared" ref="AD195:AD258" si="43">HEX2DEC(MID(DEC2HEX(HEX2DEC($E$3)+(ROW($AD195)-ROW($AD$2))*$E$2,4),3,2))</f>
        <v>8</v>
      </c>
      <c r="AE195" s="9">
        <f t="shared" si="37"/>
        <v>0</v>
      </c>
      <c r="AF195" s="9">
        <f t="shared" si="37"/>
        <v>0</v>
      </c>
      <c r="AG195" s="9">
        <f t="shared" si="37"/>
        <v>0</v>
      </c>
      <c r="AH195" s="9">
        <f t="shared" si="37"/>
        <v>0</v>
      </c>
      <c r="AI195" s="9">
        <f t="shared" si="37"/>
        <v>0</v>
      </c>
      <c r="AJ195" s="9">
        <f t="shared" si="37"/>
        <v>0</v>
      </c>
      <c r="AK195" s="9">
        <f t="shared" si="37"/>
        <v>0</v>
      </c>
      <c r="AL195" s="9">
        <f t="shared" si="37"/>
        <v>0</v>
      </c>
      <c r="AM195" s="10" t="str">
        <f t="shared" ref="AM195:AM258" si="44">RIGHT(DEC2HEX(256-MOD(SUM(AB195:AL195),256),3),2)</f>
        <v>2D</v>
      </c>
      <c r="AO195" s="2" t="s">
        <v>10</v>
      </c>
      <c r="AT195" s="11">
        <f t="shared" ref="AT195:AT258" si="45">AT194+1</f>
        <v>194</v>
      </c>
      <c r="AU195" s="12" t="str">
        <f t="shared" ref="AU195:AU258" si="46">IF(TRIM(Y195)="","",":"&amp;DEC2HEX(AB195,2)&amp;DEC2HEX(AC195,2)&amp;DEC2HEX(AD195,2)&amp;"00"&amp;DEC2HEX(AE195,2)&amp;DEC2HEX(AF195,2)&amp;DEC2HEX(AG195,2)&amp;DEC2HEX(AH195,2)&amp;DEC2HEX(AI195,2)&amp;DEC2HEX(AJ195,2)&amp;DEC2HEX(AK195,2)&amp;DEC2HEX(AL195,2)&amp;AM195)</f>
        <v/>
      </c>
    </row>
    <row r="196" spans="15:47" ht="18" customHeight="1">
      <c r="O196" s="2" t="str">
        <f t="shared" si="38"/>
        <v>STAGE 1, 3, 4 メイン・ルーチン</v>
      </c>
      <c r="X196" s="7" t="str">
        <f t="shared" si="39"/>
        <v>C310</v>
      </c>
      <c r="Y196" s="19"/>
      <c r="Z196" s="9" t="str">
        <f t="shared" si="40"/>
        <v>:00</v>
      </c>
      <c r="AB196" s="6">
        <f t="shared" si="41"/>
        <v>8</v>
      </c>
      <c r="AC196" s="6">
        <f t="shared" si="42"/>
        <v>195</v>
      </c>
      <c r="AD196" s="6">
        <f t="shared" si="43"/>
        <v>16</v>
      </c>
      <c r="AE196" s="9">
        <f t="shared" si="37"/>
        <v>0</v>
      </c>
      <c r="AF196" s="9">
        <f t="shared" si="37"/>
        <v>0</v>
      </c>
      <c r="AG196" s="9">
        <f t="shared" si="37"/>
        <v>0</v>
      </c>
      <c r="AH196" s="9">
        <f t="shared" si="37"/>
        <v>0</v>
      </c>
      <c r="AI196" s="9">
        <f t="shared" si="37"/>
        <v>0</v>
      </c>
      <c r="AJ196" s="9">
        <f t="shared" si="37"/>
        <v>0</v>
      </c>
      <c r="AK196" s="9">
        <f t="shared" si="37"/>
        <v>0</v>
      </c>
      <c r="AL196" s="9">
        <f t="shared" si="37"/>
        <v>0</v>
      </c>
      <c r="AM196" s="10" t="str">
        <f t="shared" si="44"/>
        <v>25</v>
      </c>
      <c r="AO196" s="2" t="s">
        <v>10</v>
      </c>
      <c r="AT196" s="11">
        <f t="shared" si="45"/>
        <v>195</v>
      </c>
      <c r="AU196" s="12" t="str">
        <f t="shared" si="46"/>
        <v/>
      </c>
    </row>
    <row r="197" spans="15:47" ht="18" customHeight="1">
      <c r="O197" s="2" t="str">
        <f t="shared" si="38"/>
        <v>STAGE 1, 3, 4 メイン・ルーチン</v>
      </c>
      <c r="X197" s="7" t="str">
        <f t="shared" si="39"/>
        <v>C318</v>
      </c>
      <c r="Y197" s="19"/>
      <c r="Z197" s="9" t="str">
        <f t="shared" si="40"/>
        <v>:00</v>
      </c>
      <c r="AB197" s="6">
        <f t="shared" si="41"/>
        <v>8</v>
      </c>
      <c r="AC197" s="6">
        <f t="shared" si="42"/>
        <v>195</v>
      </c>
      <c r="AD197" s="6">
        <f t="shared" si="43"/>
        <v>24</v>
      </c>
      <c r="AE197" s="9">
        <f t="shared" si="37"/>
        <v>0</v>
      </c>
      <c r="AF197" s="9">
        <f t="shared" si="37"/>
        <v>0</v>
      </c>
      <c r="AG197" s="9">
        <f t="shared" si="37"/>
        <v>0</v>
      </c>
      <c r="AH197" s="9">
        <f t="shared" si="37"/>
        <v>0</v>
      </c>
      <c r="AI197" s="9">
        <f t="shared" si="37"/>
        <v>0</v>
      </c>
      <c r="AJ197" s="9">
        <f t="shared" si="37"/>
        <v>0</v>
      </c>
      <c r="AK197" s="9">
        <f t="shared" si="37"/>
        <v>0</v>
      </c>
      <c r="AL197" s="9">
        <f t="shared" si="37"/>
        <v>0</v>
      </c>
      <c r="AM197" s="10" t="str">
        <f t="shared" si="44"/>
        <v>1D</v>
      </c>
      <c r="AO197" s="2" t="s">
        <v>10</v>
      </c>
      <c r="AT197" s="11">
        <f t="shared" si="45"/>
        <v>196</v>
      </c>
      <c r="AU197" s="12" t="str">
        <f t="shared" si="46"/>
        <v/>
      </c>
    </row>
    <row r="198" spans="15:47" ht="18" customHeight="1">
      <c r="O198" s="2" t="str">
        <f t="shared" si="38"/>
        <v>STAGE 1, 3, 4 メイン・ルーチン</v>
      </c>
      <c r="X198" s="7" t="str">
        <f t="shared" si="39"/>
        <v>C320</v>
      </c>
      <c r="Y198" s="19"/>
      <c r="Z198" s="9" t="str">
        <f t="shared" si="40"/>
        <v>:00</v>
      </c>
      <c r="AB198" s="6">
        <f t="shared" si="41"/>
        <v>8</v>
      </c>
      <c r="AC198" s="6">
        <f t="shared" si="42"/>
        <v>195</v>
      </c>
      <c r="AD198" s="6">
        <f t="shared" si="43"/>
        <v>32</v>
      </c>
      <c r="AE198" s="9">
        <f t="shared" si="37"/>
        <v>0</v>
      </c>
      <c r="AF198" s="9">
        <f t="shared" si="37"/>
        <v>0</v>
      </c>
      <c r="AG198" s="9">
        <f t="shared" si="37"/>
        <v>0</v>
      </c>
      <c r="AH198" s="9">
        <f t="shared" si="37"/>
        <v>0</v>
      </c>
      <c r="AI198" s="9">
        <f t="shared" si="37"/>
        <v>0</v>
      </c>
      <c r="AJ198" s="9">
        <f t="shared" si="37"/>
        <v>0</v>
      </c>
      <c r="AK198" s="9">
        <f t="shared" si="37"/>
        <v>0</v>
      </c>
      <c r="AL198" s="9">
        <f t="shared" si="37"/>
        <v>0</v>
      </c>
      <c r="AM198" s="10" t="str">
        <f t="shared" si="44"/>
        <v>15</v>
      </c>
      <c r="AO198" s="2" t="s">
        <v>10</v>
      </c>
      <c r="AT198" s="11">
        <f t="shared" si="45"/>
        <v>197</v>
      </c>
      <c r="AU198" s="12" t="str">
        <f t="shared" si="46"/>
        <v/>
      </c>
    </row>
    <row r="199" spans="15:47" ht="18" customHeight="1">
      <c r="O199" s="2" t="str">
        <f t="shared" si="38"/>
        <v>STAGE 1, 3, 4 メイン・ルーチン</v>
      </c>
      <c r="X199" s="7" t="str">
        <f t="shared" si="39"/>
        <v>C328</v>
      </c>
      <c r="Y199" s="19"/>
      <c r="Z199" s="9" t="str">
        <f t="shared" si="40"/>
        <v>:00</v>
      </c>
      <c r="AB199" s="6">
        <f t="shared" si="41"/>
        <v>8</v>
      </c>
      <c r="AC199" s="6">
        <f t="shared" si="42"/>
        <v>195</v>
      </c>
      <c r="AD199" s="6">
        <f t="shared" si="43"/>
        <v>40</v>
      </c>
      <c r="AE199" s="9">
        <f t="shared" si="37"/>
        <v>0</v>
      </c>
      <c r="AF199" s="9">
        <f t="shared" si="37"/>
        <v>0</v>
      </c>
      <c r="AG199" s="9">
        <f t="shared" si="37"/>
        <v>0</v>
      </c>
      <c r="AH199" s="9">
        <f t="shared" si="37"/>
        <v>0</v>
      </c>
      <c r="AI199" s="9">
        <f t="shared" si="37"/>
        <v>0</v>
      </c>
      <c r="AJ199" s="9">
        <f t="shared" si="37"/>
        <v>0</v>
      </c>
      <c r="AK199" s="9">
        <f t="shared" si="37"/>
        <v>0</v>
      </c>
      <c r="AL199" s="9">
        <f t="shared" si="37"/>
        <v>0</v>
      </c>
      <c r="AM199" s="10" t="str">
        <f t="shared" si="44"/>
        <v>0D</v>
      </c>
      <c r="AO199" s="2" t="s">
        <v>10</v>
      </c>
      <c r="AT199" s="11">
        <f t="shared" si="45"/>
        <v>198</v>
      </c>
      <c r="AU199" s="12" t="str">
        <f t="shared" si="46"/>
        <v/>
      </c>
    </row>
    <row r="200" spans="15:47" ht="18" customHeight="1">
      <c r="O200" s="2" t="str">
        <f t="shared" si="38"/>
        <v>STAGE 1, 3, 4 メイン・ルーチン</v>
      </c>
      <c r="X200" s="7" t="str">
        <f t="shared" si="39"/>
        <v>C330</v>
      </c>
      <c r="Y200" s="19"/>
      <c r="Z200" s="9" t="str">
        <f t="shared" si="40"/>
        <v>:00</v>
      </c>
      <c r="AB200" s="6">
        <f t="shared" si="41"/>
        <v>8</v>
      </c>
      <c r="AC200" s="6">
        <f t="shared" si="42"/>
        <v>195</v>
      </c>
      <c r="AD200" s="6">
        <f t="shared" si="43"/>
        <v>48</v>
      </c>
      <c r="AE200" s="9">
        <f t="shared" si="37"/>
        <v>0</v>
      </c>
      <c r="AF200" s="9">
        <f t="shared" si="37"/>
        <v>0</v>
      </c>
      <c r="AG200" s="9">
        <f t="shared" si="37"/>
        <v>0</v>
      </c>
      <c r="AH200" s="9">
        <f t="shared" si="37"/>
        <v>0</v>
      </c>
      <c r="AI200" s="9">
        <f t="shared" si="37"/>
        <v>0</v>
      </c>
      <c r="AJ200" s="9">
        <f t="shared" si="37"/>
        <v>0</v>
      </c>
      <c r="AK200" s="9">
        <f t="shared" si="37"/>
        <v>0</v>
      </c>
      <c r="AL200" s="9">
        <f t="shared" si="37"/>
        <v>0</v>
      </c>
      <c r="AM200" s="10" t="str">
        <f t="shared" si="44"/>
        <v>05</v>
      </c>
      <c r="AO200" s="2" t="s">
        <v>10</v>
      </c>
      <c r="AT200" s="11">
        <f t="shared" si="45"/>
        <v>199</v>
      </c>
      <c r="AU200" s="12" t="str">
        <f t="shared" si="46"/>
        <v/>
      </c>
    </row>
    <row r="201" spans="15:47" ht="18" customHeight="1">
      <c r="O201" s="2" t="str">
        <f t="shared" si="38"/>
        <v>STAGE 1, 3, 4 メイン・ルーチン</v>
      </c>
      <c r="X201" s="7" t="str">
        <f t="shared" si="39"/>
        <v>C338</v>
      </c>
      <c r="Y201" s="19"/>
      <c r="Z201" s="9" t="str">
        <f t="shared" si="40"/>
        <v>:00</v>
      </c>
      <c r="AB201" s="6">
        <f t="shared" si="41"/>
        <v>8</v>
      </c>
      <c r="AC201" s="6">
        <f t="shared" si="42"/>
        <v>195</v>
      </c>
      <c r="AD201" s="6">
        <f t="shared" si="43"/>
        <v>56</v>
      </c>
      <c r="AE201" s="9">
        <f t="shared" si="37"/>
        <v>0</v>
      </c>
      <c r="AF201" s="9">
        <f t="shared" si="37"/>
        <v>0</v>
      </c>
      <c r="AG201" s="9">
        <f t="shared" si="37"/>
        <v>0</v>
      </c>
      <c r="AH201" s="9">
        <f t="shared" si="37"/>
        <v>0</v>
      </c>
      <c r="AI201" s="9">
        <f t="shared" si="37"/>
        <v>0</v>
      </c>
      <c r="AJ201" s="9">
        <f t="shared" si="37"/>
        <v>0</v>
      </c>
      <c r="AK201" s="9">
        <f t="shared" si="37"/>
        <v>0</v>
      </c>
      <c r="AL201" s="9">
        <f t="shared" si="37"/>
        <v>0</v>
      </c>
      <c r="AM201" s="10" t="str">
        <f t="shared" si="44"/>
        <v>FD</v>
      </c>
      <c r="AO201" s="2" t="s">
        <v>10</v>
      </c>
      <c r="AT201" s="11">
        <f t="shared" si="45"/>
        <v>200</v>
      </c>
      <c r="AU201" s="12" t="str">
        <f t="shared" si="46"/>
        <v/>
      </c>
    </row>
    <row r="202" spans="15:47" ht="18" customHeight="1">
      <c r="O202" s="2" t="str">
        <f t="shared" si="38"/>
        <v>STAGE 1, 3, 4 メイン・ルーチン</v>
      </c>
      <c r="X202" s="7" t="str">
        <f t="shared" si="39"/>
        <v>C340</v>
      </c>
      <c r="Y202" s="19"/>
      <c r="Z202" s="9" t="str">
        <f t="shared" si="40"/>
        <v>:00</v>
      </c>
      <c r="AB202" s="6">
        <f t="shared" si="41"/>
        <v>8</v>
      </c>
      <c r="AC202" s="6">
        <f t="shared" si="42"/>
        <v>195</v>
      </c>
      <c r="AD202" s="6">
        <f t="shared" si="43"/>
        <v>64</v>
      </c>
      <c r="AE202" s="9">
        <f t="shared" si="37"/>
        <v>0</v>
      </c>
      <c r="AF202" s="9">
        <f t="shared" si="37"/>
        <v>0</v>
      </c>
      <c r="AG202" s="9">
        <f t="shared" si="37"/>
        <v>0</v>
      </c>
      <c r="AH202" s="9">
        <f t="shared" si="37"/>
        <v>0</v>
      </c>
      <c r="AI202" s="9">
        <f t="shared" si="37"/>
        <v>0</v>
      </c>
      <c r="AJ202" s="9">
        <f t="shared" si="37"/>
        <v>0</v>
      </c>
      <c r="AK202" s="9">
        <f t="shared" si="37"/>
        <v>0</v>
      </c>
      <c r="AL202" s="9">
        <f t="shared" si="37"/>
        <v>0</v>
      </c>
      <c r="AM202" s="10" t="str">
        <f t="shared" si="44"/>
        <v>F5</v>
      </c>
      <c r="AO202" s="2" t="s">
        <v>10</v>
      </c>
      <c r="AT202" s="11">
        <f t="shared" si="45"/>
        <v>201</v>
      </c>
      <c r="AU202" s="12" t="str">
        <f t="shared" si="46"/>
        <v/>
      </c>
    </row>
    <row r="203" spans="15:47" ht="18" customHeight="1">
      <c r="O203" s="2" t="str">
        <f t="shared" si="38"/>
        <v>STAGE 1, 3, 4 メイン・ルーチン</v>
      </c>
      <c r="X203" s="7" t="str">
        <f t="shared" si="39"/>
        <v>C348</v>
      </c>
      <c r="Y203" s="19"/>
      <c r="Z203" s="9" t="str">
        <f t="shared" si="40"/>
        <v>:00</v>
      </c>
      <c r="AB203" s="6">
        <f t="shared" si="41"/>
        <v>8</v>
      </c>
      <c r="AC203" s="6">
        <f t="shared" si="42"/>
        <v>195</v>
      </c>
      <c r="AD203" s="6">
        <f t="shared" si="43"/>
        <v>72</v>
      </c>
      <c r="AE203" s="9">
        <f t="shared" si="37"/>
        <v>0</v>
      </c>
      <c r="AF203" s="9">
        <f t="shared" si="37"/>
        <v>0</v>
      </c>
      <c r="AG203" s="9">
        <f t="shared" si="37"/>
        <v>0</v>
      </c>
      <c r="AH203" s="9">
        <f t="shared" si="37"/>
        <v>0</v>
      </c>
      <c r="AI203" s="9">
        <f t="shared" si="37"/>
        <v>0</v>
      </c>
      <c r="AJ203" s="9">
        <f t="shared" si="37"/>
        <v>0</v>
      </c>
      <c r="AK203" s="9">
        <f t="shared" si="37"/>
        <v>0</v>
      </c>
      <c r="AL203" s="9">
        <f t="shared" si="37"/>
        <v>0</v>
      </c>
      <c r="AM203" s="10" t="str">
        <f t="shared" si="44"/>
        <v>ED</v>
      </c>
      <c r="AO203" s="2" t="s">
        <v>10</v>
      </c>
      <c r="AT203" s="11">
        <f t="shared" si="45"/>
        <v>202</v>
      </c>
      <c r="AU203" s="12" t="str">
        <f t="shared" si="46"/>
        <v/>
      </c>
    </row>
    <row r="204" spans="15:47" ht="18" customHeight="1">
      <c r="O204" s="2" t="str">
        <f t="shared" si="38"/>
        <v>STAGE 1, 3, 4 メイン・ルーチン</v>
      </c>
      <c r="X204" s="7" t="str">
        <f t="shared" si="39"/>
        <v>C350</v>
      </c>
      <c r="Y204" s="19"/>
      <c r="Z204" s="9" t="str">
        <f t="shared" si="40"/>
        <v>:00</v>
      </c>
      <c r="AB204" s="6">
        <f t="shared" si="41"/>
        <v>8</v>
      </c>
      <c r="AC204" s="6">
        <f t="shared" si="42"/>
        <v>195</v>
      </c>
      <c r="AD204" s="6">
        <f t="shared" si="43"/>
        <v>80</v>
      </c>
      <c r="AE204" s="9">
        <f t="shared" si="37"/>
        <v>0</v>
      </c>
      <c r="AF204" s="9">
        <f t="shared" si="37"/>
        <v>0</v>
      </c>
      <c r="AG204" s="9">
        <f t="shared" si="37"/>
        <v>0</v>
      </c>
      <c r="AH204" s="9">
        <f t="shared" si="37"/>
        <v>0</v>
      </c>
      <c r="AI204" s="9">
        <f t="shared" si="37"/>
        <v>0</v>
      </c>
      <c r="AJ204" s="9">
        <f t="shared" si="37"/>
        <v>0</v>
      </c>
      <c r="AK204" s="9">
        <f t="shared" si="37"/>
        <v>0</v>
      </c>
      <c r="AL204" s="9">
        <f t="shared" si="37"/>
        <v>0</v>
      </c>
      <c r="AM204" s="10" t="str">
        <f t="shared" si="44"/>
        <v>E5</v>
      </c>
      <c r="AO204" s="2" t="s">
        <v>10</v>
      </c>
      <c r="AT204" s="11">
        <f t="shared" si="45"/>
        <v>203</v>
      </c>
      <c r="AU204" s="12" t="str">
        <f t="shared" si="46"/>
        <v/>
      </c>
    </row>
    <row r="205" spans="15:47" ht="18" customHeight="1">
      <c r="O205" s="2" t="str">
        <f t="shared" si="38"/>
        <v>STAGE 1, 3, 4 メイン・ルーチン</v>
      </c>
      <c r="X205" s="7" t="str">
        <f t="shared" si="39"/>
        <v>C358</v>
      </c>
      <c r="Y205" s="19"/>
      <c r="Z205" s="9" t="str">
        <f t="shared" si="40"/>
        <v>:00</v>
      </c>
      <c r="AB205" s="6">
        <f t="shared" si="41"/>
        <v>8</v>
      </c>
      <c r="AC205" s="6">
        <f t="shared" si="42"/>
        <v>195</v>
      </c>
      <c r="AD205" s="6">
        <f t="shared" si="43"/>
        <v>88</v>
      </c>
      <c r="AE205" s="9">
        <f t="shared" si="37"/>
        <v>0</v>
      </c>
      <c r="AF205" s="9">
        <f t="shared" si="37"/>
        <v>0</v>
      </c>
      <c r="AG205" s="9">
        <f t="shared" si="37"/>
        <v>0</v>
      </c>
      <c r="AH205" s="9">
        <f t="shared" si="37"/>
        <v>0</v>
      </c>
      <c r="AI205" s="9">
        <f t="shared" si="37"/>
        <v>0</v>
      </c>
      <c r="AJ205" s="9">
        <f t="shared" si="37"/>
        <v>0</v>
      </c>
      <c r="AK205" s="9">
        <f t="shared" si="37"/>
        <v>0</v>
      </c>
      <c r="AL205" s="9">
        <f t="shared" si="37"/>
        <v>0</v>
      </c>
      <c r="AM205" s="10" t="str">
        <f t="shared" si="44"/>
        <v>DD</v>
      </c>
      <c r="AO205" s="2" t="s">
        <v>10</v>
      </c>
      <c r="AT205" s="11">
        <f t="shared" si="45"/>
        <v>204</v>
      </c>
      <c r="AU205" s="12" t="str">
        <f t="shared" si="46"/>
        <v/>
      </c>
    </row>
    <row r="206" spans="15:47" ht="18" customHeight="1">
      <c r="O206" s="2" t="str">
        <f t="shared" si="38"/>
        <v>STAGE 1, 3, 4 メイン・ルーチン</v>
      </c>
      <c r="X206" s="7" t="str">
        <f t="shared" si="39"/>
        <v>C360</v>
      </c>
      <c r="Y206" s="19"/>
      <c r="Z206" s="9" t="str">
        <f t="shared" si="40"/>
        <v>:00</v>
      </c>
      <c r="AB206" s="6">
        <f t="shared" si="41"/>
        <v>8</v>
      </c>
      <c r="AC206" s="6">
        <f t="shared" si="42"/>
        <v>195</v>
      </c>
      <c r="AD206" s="6">
        <f t="shared" si="43"/>
        <v>96</v>
      </c>
      <c r="AE206" s="9">
        <f t="shared" si="37"/>
        <v>0</v>
      </c>
      <c r="AF206" s="9">
        <f t="shared" si="37"/>
        <v>0</v>
      </c>
      <c r="AG206" s="9">
        <f t="shared" si="37"/>
        <v>0</v>
      </c>
      <c r="AH206" s="9">
        <f t="shared" si="37"/>
        <v>0</v>
      </c>
      <c r="AI206" s="9">
        <f t="shared" si="37"/>
        <v>0</v>
      </c>
      <c r="AJ206" s="9">
        <f t="shared" si="37"/>
        <v>0</v>
      </c>
      <c r="AK206" s="9">
        <f t="shared" si="37"/>
        <v>0</v>
      </c>
      <c r="AL206" s="9">
        <f t="shared" si="37"/>
        <v>0</v>
      </c>
      <c r="AM206" s="10" t="str">
        <f t="shared" si="44"/>
        <v>D5</v>
      </c>
      <c r="AO206" s="2" t="s">
        <v>10</v>
      </c>
      <c r="AT206" s="11">
        <f t="shared" si="45"/>
        <v>205</v>
      </c>
      <c r="AU206" s="12" t="str">
        <f t="shared" si="46"/>
        <v/>
      </c>
    </row>
    <row r="207" spans="15:47" ht="18" customHeight="1">
      <c r="O207" s="2" t="str">
        <f t="shared" si="38"/>
        <v>STAGE 1, 3, 4 メイン・ルーチン</v>
      </c>
      <c r="X207" s="7" t="str">
        <f t="shared" si="39"/>
        <v>C368</v>
      </c>
      <c r="Y207" s="19"/>
      <c r="Z207" s="9" t="str">
        <f t="shared" si="40"/>
        <v>:00</v>
      </c>
      <c r="AB207" s="6">
        <f t="shared" si="41"/>
        <v>8</v>
      </c>
      <c r="AC207" s="6">
        <f t="shared" si="42"/>
        <v>195</v>
      </c>
      <c r="AD207" s="6">
        <f t="shared" si="43"/>
        <v>104</v>
      </c>
      <c r="AE207" s="9">
        <f t="shared" si="37"/>
        <v>0</v>
      </c>
      <c r="AF207" s="9">
        <f t="shared" si="37"/>
        <v>0</v>
      </c>
      <c r="AG207" s="9">
        <f t="shared" si="37"/>
        <v>0</v>
      </c>
      <c r="AH207" s="9">
        <f t="shared" si="37"/>
        <v>0</v>
      </c>
      <c r="AI207" s="9">
        <f t="shared" si="37"/>
        <v>0</v>
      </c>
      <c r="AJ207" s="9">
        <f t="shared" si="37"/>
        <v>0</v>
      </c>
      <c r="AK207" s="9">
        <f t="shared" si="37"/>
        <v>0</v>
      </c>
      <c r="AL207" s="9">
        <f t="shared" si="37"/>
        <v>0</v>
      </c>
      <c r="AM207" s="10" t="str">
        <f t="shared" si="44"/>
        <v>CD</v>
      </c>
      <c r="AO207" s="2" t="s">
        <v>10</v>
      </c>
      <c r="AT207" s="11">
        <f t="shared" si="45"/>
        <v>206</v>
      </c>
      <c r="AU207" s="12" t="str">
        <f t="shared" si="46"/>
        <v/>
      </c>
    </row>
    <row r="208" spans="15:47" ht="18" customHeight="1">
      <c r="O208" s="2" t="str">
        <f t="shared" si="38"/>
        <v>STAGE 1, 3, 4 メイン・ルーチン</v>
      </c>
      <c r="X208" s="7" t="str">
        <f t="shared" si="39"/>
        <v>C370</v>
      </c>
      <c r="Y208" s="19"/>
      <c r="Z208" s="9" t="str">
        <f t="shared" si="40"/>
        <v>:00</v>
      </c>
      <c r="AB208" s="6">
        <f t="shared" si="41"/>
        <v>8</v>
      </c>
      <c r="AC208" s="6">
        <f t="shared" si="42"/>
        <v>195</v>
      </c>
      <c r="AD208" s="6">
        <f t="shared" si="43"/>
        <v>112</v>
      </c>
      <c r="AE208" s="9">
        <f t="shared" si="37"/>
        <v>0</v>
      </c>
      <c r="AF208" s="9">
        <f t="shared" si="37"/>
        <v>0</v>
      </c>
      <c r="AG208" s="9">
        <f t="shared" si="37"/>
        <v>0</v>
      </c>
      <c r="AH208" s="9">
        <f t="shared" si="37"/>
        <v>0</v>
      </c>
      <c r="AI208" s="9">
        <f t="shared" si="37"/>
        <v>0</v>
      </c>
      <c r="AJ208" s="9">
        <f t="shared" si="37"/>
        <v>0</v>
      </c>
      <c r="AK208" s="9">
        <f t="shared" si="37"/>
        <v>0</v>
      </c>
      <c r="AL208" s="9">
        <f t="shared" si="37"/>
        <v>0</v>
      </c>
      <c r="AM208" s="10" t="str">
        <f t="shared" si="44"/>
        <v>C5</v>
      </c>
      <c r="AO208" s="2" t="s">
        <v>10</v>
      </c>
      <c r="AT208" s="11">
        <f t="shared" si="45"/>
        <v>207</v>
      </c>
      <c r="AU208" s="12" t="str">
        <f t="shared" si="46"/>
        <v/>
      </c>
    </row>
    <row r="209" spans="15:47" ht="18" customHeight="1">
      <c r="O209" s="2" t="str">
        <f t="shared" si="38"/>
        <v>STAGE 1, 3, 4 メイン・ルーチン</v>
      </c>
      <c r="X209" s="7" t="str">
        <f t="shared" si="39"/>
        <v>C378</v>
      </c>
      <c r="Y209" s="19"/>
      <c r="Z209" s="9" t="str">
        <f t="shared" si="40"/>
        <v>:00</v>
      </c>
      <c r="AB209" s="6">
        <f t="shared" si="41"/>
        <v>8</v>
      </c>
      <c r="AC209" s="6">
        <f t="shared" si="42"/>
        <v>195</v>
      </c>
      <c r="AD209" s="6">
        <f t="shared" si="43"/>
        <v>120</v>
      </c>
      <c r="AE209" s="9">
        <f t="shared" si="37"/>
        <v>0</v>
      </c>
      <c r="AF209" s="9">
        <f t="shared" si="37"/>
        <v>0</v>
      </c>
      <c r="AG209" s="9">
        <f t="shared" si="37"/>
        <v>0</v>
      </c>
      <c r="AH209" s="9">
        <f t="shared" si="37"/>
        <v>0</v>
      </c>
      <c r="AI209" s="9">
        <f t="shared" si="37"/>
        <v>0</v>
      </c>
      <c r="AJ209" s="9">
        <f t="shared" si="37"/>
        <v>0</v>
      </c>
      <c r="AK209" s="9">
        <f t="shared" si="37"/>
        <v>0</v>
      </c>
      <c r="AL209" s="9">
        <f t="shared" si="37"/>
        <v>0</v>
      </c>
      <c r="AM209" s="10" t="str">
        <f t="shared" si="44"/>
        <v>BD</v>
      </c>
      <c r="AO209" s="2" t="s">
        <v>10</v>
      </c>
      <c r="AT209" s="11">
        <f t="shared" si="45"/>
        <v>208</v>
      </c>
      <c r="AU209" s="12" t="str">
        <f t="shared" si="46"/>
        <v/>
      </c>
    </row>
    <row r="210" spans="15:47" ht="18" customHeight="1">
      <c r="O210" s="2" t="str">
        <f t="shared" si="38"/>
        <v>STAGE 1, 3, 4 メイン・ルーチン</v>
      </c>
      <c r="X210" s="7" t="str">
        <f t="shared" si="39"/>
        <v>C380</v>
      </c>
      <c r="Y210" s="19"/>
      <c r="Z210" s="9" t="str">
        <f t="shared" si="40"/>
        <v>:00</v>
      </c>
      <c r="AB210" s="6">
        <f t="shared" si="41"/>
        <v>8</v>
      </c>
      <c r="AC210" s="6">
        <f t="shared" si="42"/>
        <v>195</v>
      </c>
      <c r="AD210" s="6">
        <f t="shared" si="43"/>
        <v>128</v>
      </c>
      <c r="AE210" s="9">
        <f t="shared" si="37"/>
        <v>0</v>
      </c>
      <c r="AF210" s="9">
        <f t="shared" si="37"/>
        <v>0</v>
      </c>
      <c r="AG210" s="9">
        <f t="shared" si="37"/>
        <v>0</v>
      </c>
      <c r="AH210" s="9">
        <f t="shared" si="37"/>
        <v>0</v>
      </c>
      <c r="AI210" s="9">
        <f t="shared" si="37"/>
        <v>0</v>
      </c>
      <c r="AJ210" s="9">
        <f t="shared" si="37"/>
        <v>0</v>
      </c>
      <c r="AK210" s="9">
        <f t="shared" si="37"/>
        <v>0</v>
      </c>
      <c r="AL210" s="9">
        <f t="shared" si="37"/>
        <v>0</v>
      </c>
      <c r="AM210" s="10" t="str">
        <f t="shared" si="44"/>
        <v>B5</v>
      </c>
      <c r="AO210" s="2" t="s">
        <v>10</v>
      </c>
      <c r="AT210" s="11">
        <f t="shared" si="45"/>
        <v>209</v>
      </c>
      <c r="AU210" s="12" t="str">
        <f t="shared" si="46"/>
        <v/>
      </c>
    </row>
    <row r="211" spans="15:47" ht="18" customHeight="1">
      <c r="O211" s="2" t="str">
        <f t="shared" si="38"/>
        <v>STAGE 1, 3, 4 メイン・ルーチン</v>
      </c>
      <c r="X211" s="7" t="str">
        <f t="shared" si="39"/>
        <v>C388</v>
      </c>
      <c r="Y211" s="19"/>
      <c r="Z211" s="9" t="str">
        <f t="shared" si="40"/>
        <v>:00</v>
      </c>
      <c r="AB211" s="6">
        <f t="shared" si="41"/>
        <v>8</v>
      </c>
      <c r="AC211" s="6">
        <f t="shared" si="42"/>
        <v>195</v>
      </c>
      <c r="AD211" s="6">
        <f t="shared" si="43"/>
        <v>136</v>
      </c>
      <c r="AE211" s="9">
        <f t="shared" si="37"/>
        <v>0</v>
      </c>
      <c r="AF211" s="9">
        <f t="shared" si="37"/>
        <v>0</v>
      </c>
      <c r="AG211" s="9">
        <f t="shared" si="37"/>
        <v>0</v>
      </c>
      <c r="AH211" s="9">
        <f t="shared" si="37"/>
        <v>0</v>
      </c>
      <c r="AI211" s="9">
        <f t="shared" si="37"/>
        <v>0</v>
      </c>
      <c r="AJ211" s="9">
        <f t="shared" si="37"/>
        <v>0</v>
      </c>
      <c r="AK211" s="9">
        <f t="shared" si="37"/>
        <v>0</v>
      </c>
      <c r="AL211" s="9">
        <f t="shared" si="37"/>
        <v>0</v>
      </c>
      <c r="AM211" s="10" t="str">
        <f t="shared" si="44"/>
        <v>AD</v>
      </c>
      <c r="AO211" s="2" t="s">
        <v>10</v>
      </c>
      <c r="AT211" s="11">
        <f t="shared" si="45"/>
        <v>210</v>
      </c>
      <c r="AU211" s="12" t="str">
        <f t="shared" si="46"/>
        <v/>
      </c>
    </row>
    <row r="212" spans="15:47" ht="18" customHeight="1">
      <c r="O212" s="2" t="str">
        <f t="shared" si="38"/>
        <v>STAGE 1, 3, 4 メイン・ルーチン</v>
      </c>
      <c r="X212" s="7" t="str">
        <f t="shared" si="39"/>
        <v>C390</v>
      </c>
      <c r="Y212" s="19"/>
      <c r="Z212" s="9" t="str">
        <f t="shared" si="40"/>
        <v>:00</v>
      </c>
      <c r="AB212" s="6">
        <f t="shared" si="41"/>
        <v>8</v>
      </c>
      <c r="AC212" s="6">
        <f t="shared" si="42"/>
        <v>195</v>
      </c>
      <c r="AD212" s="6">
        <f t="shared" si="43"/>
        <v>144</v>
      </c>
      <c r="AE212" s="9">
        <f t="shared" si="37"/>
        <v>0</v>
      </c>
      <c r="AF212" s="9">
        <f t="shared" si="37"/>
        <v>0</v>
      </c>
      <c r="AG212" s="9">
        <f t="shared" si="37"/>
        <v>0</v>
      </c>
      <c r="AH212" s="9">
        <f t="shared" si="37"/>
        <v>0</v>
      </c>
      <c r="AI212" s="9">
        <f t="shared" si="37"/>
        <v>0</v>
      </c>
      <c r="AJ212" s="9">
        <f t="shared" si="37"/>
        <v>0</v>
      </c>
      <c r="AK212" s="9">
        <f t="shared" si="37"/>
        <v>0</v>
      </c>
      <c r="AL212" s="9">
        <f t="shared" si="37"/>
        <v>0</v>
      </c>
      <c r="AM212" s="10" t="str">
        <f t="shared" si="44"/>
        <v>A5</v>
      </c>
      <c r="AO212" s="2" t="s">
        <v>10</v>
      </c>
      <c r="AT212" s="11">
        <f t="shared" si="45"/>
        <v>211</v>
      </c>
      <c r="AU212" s="12" t="str">
        <f t="shared" si="46"/>
        <v/>
      </c>
    </row>
    <row r="213" spans="15:47" ht="18" customHeight="1">
      <c r="O213" s="2" t="str">
        <f t="shared" si="38"/>
        <v>STAGE 1, 3, 4 メイン・ルーチン</v>
      </c>
      <c r="X213" s="7" t="str">
        <f t="shared" si="39"/>
        <v>C398</v>
      </c>
      <c r="Y213" s="19"/>
      <c r="Z213" s="9" t="str">
        <f t="shared" si="40"/>
        <v>:00</v>
      </c>
      <c r="AB213" s="6">
        <f t="shared" si="41"/>
        <v>8</v>
      </c>
      <c r="AC213" s="6">
        <f t="shared" si="42"/>
        <v>195</v>
      </c>
      <c r="AD213" s="6">
        <f t="shared" si="43"/>
        <v>152</v>
      </c>
      <c r="AE213" s="9">
        <f t="shared" si="37"/>
        <v>0</v>
      </c>
      <c r="AF213" s="9">
        <f t="shared" si="37"/>
        <v>0</v>
      </c>
      <c r="AG213" s="9">
        <f t="shared" si="37"/>
        <v>0</v>
      </c>
      <c r="AH213" s="9">
        <f t="shared" si="37"/>
        <v>0</v>
      </c>
      <c r="AI213" s="9">
        <f t="shared" si="37"/>
        <v>0</v>
      </c>
      <c r="AJ213" s="9">
        <f t="shared" si="37"/>
        <v>0</v>
      </c>
      <c r="AK213" s="9">
        <f t="shared" si="37"/>
        <v>0</v>
      </c>
      <c r="AL213" s="9">
        <f t="shared" ref="AL213:AL262" si="47">HEX2DEC(MID($Y213,(COLUMN(AL213) - COLUMN($AE213)) * 2 + 1,2))</f>
        <v>0</v>
      </c>
      <c r="AM213" s="10" t="str">
        <f t="shared" si="44"/>
        <v>9D</v>
      </c>
      <c r="AO213" s="2" t="s">
        <v>10</v>
      </c>
      <c r="AT213" s="11">
        <f t="shared" si="45"/>
        <v>212</v>
      </c>
      <c r="AU213" s="12" t="str">
        <f t="shared" si="46"/>
        <v/>
      </c>
    </row>
    <row r="214" spans="15:47" ht="18" customHeight="1">
      <c r="O214" s="2" t="str">
        <f t="shared" si="38"/>
        <v>STAGE 1, 3, 4 メイン・ルーチン</v>
      </c>
      <c r="X214" s="7" t="str">
        <f t="shared" si="39"/>
        <v>C3A0</v>
      </c>
      <c r="Y214" s="19"/>
      <c r="Z214" s="9" t="str">
        <f t="shared" si="40"/>
        <v>:00</v>
      </c>
      <c r="AB214" s="6">
        <f t="shared" si="41"/>
        <v>8</v>
      </c>
      <c r="AC214" s="6">
        <f t="shared" si="42"/>
        <v>195</v>
      </c>
      <c r="AD214" s="6">
        <f t="shared" si="43"/>
        <v>160</v>
      </c>
      <c r="AE214" s="9">
        <f t="shared" ref="AE214:AK245" si="48">HEX2DEC(MID($Y214,(COLUMN(AE214) - COLUMN($AE214)) * 2 + 1,2))</f>
        <v>0</v>
      </c>
      <c r="AF214" s="9">
        <f t="shared" si="48"/>
        <v>0</v>
      </c>
      <c r="AG214" s="9">
        <f t="shared" si="48"/>
        <v>0</v>
      </c>
      <c r="AH214" s="9">
        <f t="shared" si="48"/>
        <v>0</v>
      </c>
      <c r="AI214" s="9">
        <f t="shared" si="48"/>
        <v>0</v>
      </c>
      <c r="AJ214" s="9">
        <f t="shared" si="48"/>
        <v>0</v>
      </c>
      <c r="AK214" s="9">
        <f t="shared" si="48"/>
        <v>0</v>
      </c>
      <c r="AL214" s="9">
        <f t="shared" si="47"/>
        <v>0</v>
      </c>
      <c r="AM214" s="10" t="str">
        <f t="shared" si="44"/>
        <v>95</v>
      </c>
      <c r="AO214" s="2" t="s">
        <v>10</v>
      </c>
      <c r="AT214" s="11">
        <f t="shared" si="45"/>
        <v>213</v>
      </c>
      <c r="AU214" s="12" t="str">
        <f t="shared" si="46"/>
        <v/>
      </c>
    </row>
    <row r="215" spans="15:47" ht="18" customHeight="1">
      <c r="O215" s="2" t="str">
        <f t="shared" si="38"/>
        <v>STAGE 1, 3, 4 メイン・ルーチン</v>
      </c>
      <c r="X215" s="7" t="str">
        <f t="shared" si="39"/>
        <v>C3A8</v>
      </c>
      <c r="Y215" s="19"/>
      <c r="Z215" s="9" t="str">
        <f t="shared" si="40"/>
        <v>:00</v>
      </c>
      <c r="AB215" s="6">
        <f t="shared" si="41"/>
        <v>8</v>
      </c>
      <c r="AC215" s="6">
        <f t="shared" si="42"/>
        <v>195</v>
      </c>
      <c r="AD215" s="6">
        <f t="shared" si="43"/>
        <v>168</v>
      </c>
      <c r="AE215" s="9">
        <f t="shared" si="48"/>
        <v>0</v>
      </c>
      <c r="AF215" s="9">
        <f t="shared" si="48"/>
        <v>0</v>
      </c>
      <c r="AG215" s="9">
        <f t="shared" si="48"/>
        <v>0</v>
      </c>
      <c r="AH215" s="9">
        <f t="shared" si="48"/>
        <v>0</v>
      </c>
      <c r="AI215" s="9">
        <f t="shared" si="48"/>
        <v>0</v>
      </c>
      <c r="AJ215" s="9">
        <f t="shared" si="48"/>
        <v>0</v>
      </c>
      <c r="AK215" s="9">
        <f t="shared" si="48"/>
        <v>0</v>
      </c>
      <c r="AL215" s="9">
        <f t="shared" si="47"/>
        <v>0</v>
      </c>
      <c r="AM215" s="10" t="str">
        <f t="shared" si="44"/>
        <v>8D</v>
      </c>
      <c r="AO215" s="2" t="s">
        <v>10</v>
      </c>
      <c r="AT215" s="11">
        <f t="shared" si="45"/>
        <v>214</v>
      </c>
      <c r="AU215" s="12" t="str">
        <f t="shared" si="46"/>
        <v/>
      </c>
    </row>
    <row r="216" spans="15:47" ht="18" customHeight="1">
      <c r="O216" s="2" t="str">
        <f t="shared" si="38"/>
        <v>STAGE 1, 3, 4 メイン・ルーチン</v>
      </c>
      <c r="X216" s="7" t="str">
        <f t="shared" si="39"/>
        <v>C3B0</v>
      </c>
      <c r="Y216" s="19"/>
      <c r="Z216" s="9" t="str">
        <f t="shared" si="40"/>
        <v>:00</v>
      </c>
      <c r="AB216" s="6">
        <f t="shared" si="41"/>
        <v>8</v>
      </c>
      <c r="AC216" s="6">
        <f t="shared" si="42"/>
        <v>195</v>
      </c>
      <c r="AD216" s="6">
        <f t="shared" si="43"/>
        <v>176</v>
      </c>
      <c r="AE216" s="9">
        <f t="shared" si="48"/>
        <v>0</v>
      </c>
      <c r="AF216" s="9">
        <f t="shared" si="48"/>
        <v>0</v>
      </c>
      <c r="AG216" s="9">
        <f t="shared" si="48"/>
        <v>0</v>
      </c>
      <c r="AH216" s="9">
        <f t="shared" si="48"/>
        <v>0</v>
      </c>
      <c r="AI216" s="9">
        <f t="shared" si="48"/>
        <v>0</v>
      </c>
      <c r="AJ216" s="9">
        <f t="shared" si="48"/>
        <v>0</v>
      </c>
      <c r="AK216" s="9">
        <f t="shared" si="48"/>
        <v>0</v>
      </c>
      <c r="AL216" s="9">
        <f t="shared" si="47"/>
        <v>0</v>
      </c>
      <c r="AM216" s="10" t="str">
        <f t="shared" si="44"/>
        <v>85</v>
      </c>
      <c r="AO216" s="2" t="s">
        <v>10</v>
      </c>
      <c r="AT216" s="11">
        <f t="shared" si="45"/>
        <v>215</v>
      </c>
      <c r="AU216" s="12" t="str">
        <f t="shared" si="46"/>
        <v/>
      </c>
    </row>
    <row r="217" spans="15:47" ht="18" customHeight="1">
      <c r="O217" s="2" t="str">
        <f t="shared" si="38"/>
        <v>STAGE 1, 3, 4 メイン・ルーチン</v>
      </c>
      <c r="X217" s="7" t="str">
        <f t="shared" si="39"/>
        <v>C3B8</v>
      </c>
      <c r="Y217" s="19"/>
      <c r="Z217" s="9" t="str">
        <f t="shared" si="40"/>
        <v>:00</v>
      </c>
      <c r="AB217" s="6">
        <f t="shared" si="41"/>
        <v>8</v>
      </c>
      <c r="AC217" s="6">
        <f t="shared" si="42"/>
        <v>195</v>
      </c>
      <c r="AD217" s="6">
        <f t="shared" si="43"/>
        <v>184</v>
      </c>
      <c r="AE217" s="9">
        <f t="shared" si="48"/>
        <v>0</v>
      </c>
      <c r="AF217" s="9">
        <f t="shared" si="48"/>
        <v>0</v>
      </c>
      <c r="AG217" s="9">
        <f t="shared" si="48"/>
        <v>0</v>
      </c>
      <c r="AH217" s="9">
        <f t="shared" si="48"/>
        <v>0</v>
      </c>
      <c r="AI217" s="9">
        <f t="shared" si="48"/>
        <v>0</v>
      </c>
      <c r="AJ217" s="9">
        <f t="shared" si="48"/>
        <v>0</v>
      </c>
      <c r="AK217" s="9">
        <f t="shared" si="48"/>
        <v>0</v>
      </c>
      <c r="AL217" s="9">
        <f t="shared" si="47"/>
        <v>0</v>
      </c>
      <c r="AM217" s="10" t="str">
        <f t="shared" si="44"/>
        <v>7D</v>
      </c>
      <c r="AO217" s="2" t="s">
        <v>10</v>
      </c>
      <c r="AT217" s="11">
        <f t="shared" si="45"/>
        <v>216</v>
      </c>
      <c r="AU217" s="12" t="str">
        <f t="shared" si="46"/>
        <v/>
      </c>
    </row>
    <row r="218" spans="15:47" ht="18" customHeight="1">
      <c r="O218" s="2" t="str">
        <f t="shared" si="38"/>
        <v>STAGE 1, 3, 4 メイン・ルーチン</v>
      </c>
      <c r="X218" s="7" t="str">
        <f t="shared" si="39"/>
        <v>C3C0</v>
      </c>
      <c r="Y218" s="19"/>
      <c r="Z218" s="9" t="str">
        <f t="shared" si="40"/>
        <v>:00</v>
      </c>
      <c r="AB218" s="6">
        <f t="shared" si="41"/>
        <v>8</v>
      </c>
      <c r="AC218" s="6">
        <f t="shared" si="42"/>
        <v>195</v>
      </c>
      <c r="AD218" s="6">
        <f t="shared" si="43"/>
        <v>192</v>
      </c>
      <c r="AE218" s="9">
        <f t="shared" si="48"/>
        <v>0</v>
      </c>
      <c r="AF218" s="9">
        <f t="shared" si="48"/>
        <v>0</v>
      </c>
      <c r="AG218" s="9">
        <f t="shared" si="48"/>
        <v>0</v>
      </c>
      <c r="AH218" s="9">
        <f t="shared" si="48"/>
        <v>0</v>
      </c>
      <c r="AI218" s="9">
        <f t="shared" si="48"/>
        <v>0</v>
      </c>
      <c r="AJ218" s="9">
        <f t="shared" si="48"/>
        <v>0</v>
      </c>
      <c r="AK218" s="9">
        <f t="shared" si="48"/>
        <v>0</v>
      </c>
      <c r="AL218" s="9">
        <f t="shared" si="47"/>
        <v>0</v>
      </c>
      <c r="AM218" s="10" t="str">
        <f t="shared" si="44"/>
        <v>75</v>
      </c>
      <c r="AO218" s="2" t="s">
        <v>10</v>
      </c>
      <c r="AT218" s="11">
        <f t="shared" si="45"/>
        <v>217</v>
      </c>
      <c r="AU218" s="12" t="str">
        <f t="shared" si="46"/>
        <v/>
      </c>
    </row>
    <row r="219" spans="15:47" ht="18" customHeight="1">
      <c r="O219" s="2" t="str">
        <f t="shared" si="38"/>
        <v>STAGE 1, 3, 4 メイン・ルーチン</v>
      </c>
      <c r="X219" s="7" t="str">
        <f t="shared" si="39"/>
        <v>C3C8</v>
      </c>
      <c r="Y219" s="19"/>
      <c r="Z219" s="9" t="str">
        <f t="shared" si="40"/>
        <v>:00</v>
      </c>
      <c r="AB219" s="6">
        <f t="shared" si="41"/>
        <v>8</v>
      </c>
      <c r="AC219" s="6">
        <f t="shared" si="42"/>
        <v>195</v>
      </c>
      <c r="AD219" s="6">
        <f t="shared" si="43"/>
        <v>200</v>
      </c>
      <c r="AE219" s="9">
        <f t="shared" si="48"/>
        <v>0</v>
      </c>
      <c r="AF219" s="9">
        <f t="shared" si="48"/>
        <v>0</v>
      </c>
      <c r="AG219" s="9">
        <f t="shared" si="48"/>
        <v>0</v>
      </c>
      <c r="AH219" s="9">
        <f t="shared" si="48"/>
        <v>0</v>
      </c>
      <c r="AI219" s="9">
        <f t="shared" si="48"/>
        <v>0</v>
      </c>
      <c r="AJ219" s="9">
        <f t="shared" si="48"/>
        <v>0</v>
      </c>
      <c r="AK219" s="9">
        <f t="shared" si="48"/>
        <v>0</v>
      </c>
      <c r="AL219" s="9">
        <f t="shared" si="47"/>
        <v>0</v>
      </c>
      <c r="AM219" s="10" t="str">
        <f t="shared" si="44"/>
        <v>6D</v>
      </c>
      <c r="AO219" s="2" t="s">
        <v>10</v>
      </c>
      <c r="AT219" s="11">
        <f t="shared" si="45"/>
        <v>218</v>
      </c>
      <c r="AU219" s="12" t="str">
        <f t="shared" si="46"/>
        <v/>
      </c>
    </row>
    <row r="220" spans="15:47" ht="18" customHeight="1">
      <c r="O220" s="2" t="str">
        <f t="shared" si="38"/>
        <v>STAGE 1, 3, 4 メイン・ルーチン</v>
      </c>
      <c r="X220" s="7" t="str">
        <f t="shared" si="39"/>
        <v>C3D0</v>
      </c>
      <c r="Y220" s="19"/>
      <c r="Z220" s="9" t="str">
        <f t="shared" si="40"/>
        <v>:00</v>
      </c>
      <c r="AB220" s="6">
        <f t="shared" si="41"/>
        <v>8</v>
      </c>
      <c r="AC220" s="6">
        <f t="shared" si="42"/>
        <v>195</v>
      </c>
      <c r="AD220" s="6">
        <f t="shared" si="43"/>
        <v>208</v>
      </c>
      <c r="AE220" s="9">
        <f t="shared" si="48"/>
        <v>0</v>
      </c>
      <c r="AF220" s="9">
        <f t="shared" si="48"/>
        <v>0</v>
      </c>
      <c r="AG220" s="9">
        <f t="shared" si="48"/>
        <v>0</v>
      </c>
      <c r="AH220" s="9">
        <f t="shared" si="48"/>
        <v>0</v>
      </c>
      <c r="AI220" s="9">
        <f t="shared" si="48"/>
        <v>0</v>
      </c>
      <c r="AJ220" s="9">
        <f t="shared" si="48"/>
        <v>0</v>
      </c>
      <c r="AK220" s="9">
        <f t="shared" si="48"/>
        <v>0</v>
      </c>
      <c r="AL220" s="9">
        <f t="shared" si="47"/>
        <v>0</v>
      </c>
      <c r="AM220" s="10" t="str">
        <f t="shared" si="44"/>
        <v>65</v>
      </c>
      <c r="AO220" s="2" t="s">
        <v>10</v>
      </c>
      <c r="AT220" s="11">
        <f t="shared" si="45"/>
        <v>219</v>
      </c>
      <c r="AU220" s="12" t="str">
        <f t="shared" si="46"/>
        <v/>
      </c>
    </row>
    <row r="221" spans="15:47" ht="18" customHeight="1">
      <c r="O221" s="2" t="str">
        <f t="shared" si="38"/>
        <v>STAGE 1, 3, 4 メイン・ルーチン</v>
      </c>
      <c r="X221" s="7" t="str">
        <f t="shared" si="39"/>
        <v>C3D8</v>
      </c>
      <c r="Y221" s="19"/>
      <c r="Z221" s="9" t="str">
        <f t="shared" si="40"/>
        <v>:00</v>
      </c>
      <c r="AB221" s="6">
        <f t="shared" si="41"/>
        <v>8</v>
      </c>
      <c r="AC221" s="6">
        <f t="shared" si="42"/>
        <v>195</v>
      </c>
      <c r="AD221" s="6">
        <f t="shared" si="43"/>
        <v>216</v>
      </c>
      <c r="AE221" s="9">
        <f t="shared" si="48"/>
        <v>0</v>
      </c>
      <c r="AF221" s="9">
        <f t="shared" si="48"/>
        <v>0</v>
      </c>
      <c r="AG221" s="9">
        <f t="shared" si="48"/>
        <v>0</v>
      </c>
      <c r="AH221" s="9">
        <f t="shared" si="48"/>
        <v>0</v>
      </c>
      <c r="AI221" s="9">
        <f t="shared" si="48"/>
        <v>0</v>
      </c>
      <c r="AJ221" s="9">
        <f t="shared" si="48"/>
        <v>0</v>
      </c>
      <c r="AK221" s="9">
        <f t="shared" si="48"/>
        <v>0</v>
      </c>
      <c r="AL221" s="9">
        <f t="shared" si="47"/>
        <v>0</v>
      </c>
      <c r="AM221" s="10" t="str">
        <f t="shared" si="44"/>
        <v>5D</v>
      </c>
      <c r="AO221" s="2" t="s">
        <v>10</v>
      </c>
      <c r="AT221" s="11">
        <f t="shared" si="45"/>
        <v>220</v>
      </c>
      <c r="AU221" s="12" t="str">
        <f t="shared" si="46"/>
        <v/>
      </c>
    </row>
    <row r="222" spans="15:47" ht="18" customHeight="1">
      <c r="O222" s="2" t="str">
        <f t="shared" si="38"/>
        <v>STAGE 1, 3, 4 メイン・ルーチン</v>
      </c>
      <c r="X222" s="7" t="str">
        <f t="shared" si="39"/>
        <v>C3E0</v>
      </c>
      <c r="Y222" s="19"/>
      <c r="Z222" s="9" t="str">
        <f t="shared" si="40"/>
        <v>:00</v>
      </c>
      <c r="AB222" s="6">
        <f t="shared" si="41"/>
        <v>8</v>
      </c>
      <c r="AC222" s="6">
        <f t="shared" si="42"/>
        <v>195</v>
      </c>
      <c r="AD222" s="6">
        <f t="shared" si="43"/>
        <v>224</v>
      </c>
      <c r="AE222" s="9">
        <f t="shared" si="48"/>
        <v>0</v>
      </c>
      <c r="AF222" s="9">
        <f t="shared" si="48"/>
        <v>0</v>
      </c>
      <c r="AG222" s="9">
        <f t="shared" si="48"/>
        <v>0</v>
      </c>
      <c r="AH222" s="9">
        <f t="shared" si="48"/>
        <v>0</v>
      </c>
      <c r="AI222" s="9">
        <f t="shared" si="48"/>
        <v>0</v>
      </c>
      <c r="AJ222" s="9">
        <f t="shared" si="48"/>
        <v>0</v>
      </c>
      <c r="AK222" s="9">
        <f t="shared" si="48"/>
        <v>0</v>
      </c>
      <c r="AL222" s="9">
        <f t="shared" si="47"/>
        <v>0</v>
      </c>
      <c r="AM222" s="10" t="str">
        <f t="shared" si="44"/>
        <v>55</v>
      </c>
      <c r="AO222" s="2" t="s">
        <v>10</v>
      </c>
      <c r="AT222" s="11">
        <f t="shared" si="45"/>
        <v>221</v>
      </c>
      <c r="AU222" s="12" t="str">
        <f t="shared" si="46"/>
        <v/>
      </c>
    </row>
    <row r="223" spans="15:47" ht="18" customHeight="1">
      <c r="O223" s="2" t="str">
        <f t="shared" si="38"/>
        <v>STAGE 1, 3, 4 メイン・ルーチン</v>
      </c>
      <c r="X223" s="7" t="str">
        <f t="shared" si="39"/>
        <v>C3E8</v>
      </c>
      <c r="Y223" s="19"/>
      <c r="Z223" s="9" t="str">
        <f t="shared" si="40"/>
        <v>:00</v>
      </c>
      <c r="AB223" s="6">
        <f t="shared" si="41"/>
        <v>8</v>
      </c>
      <c r="AC223" s="6">
        <f t="shared" si="42"/>
        <v>195</v>
      </c>
      <c r="AD223" s="6">
        <f t="shared" si="43"/>
        <v>232</v>
      </c>
      <c r="AE223" s="9">
        <f t="shared" si="48"/>
        <v>0</v>
      </c>
      <c r="AF223" s="9">
        <f t="shared" si="48"/>
        <v>0</v>
      </c>
      <c r="AG223" s="9">
        <f t="shared" si="48"/>
        <v>0</v>
      </c>
      <c r="AH223" s="9">
        <f t="shared" si="48"/>
        <v>0</v>
      </c>
      <c r="AI223" s="9">
        <f t="shared" si="48"/>
        <v>0</v>
      </c>
      <c r="AJ223" s="9">
        <f t="shared" si="48"/>
        <v>0</v>
      </c>
      <c r="AK223" s="9">
        <f t="shared" si="48"/>
        <v>0</v>
      </c>
      <c r="AL223" s="9">
        <f t="shared" si="47"/>
        <v>0</v>
      </c>
      <c r="AM223" s="10" t="str">
        <f t="shared" si="44"/>
        <v>4D</v>
      </c>
      <c r="AO223" s="2" t="s">
        <v>10</v>
      </c>
      <c r="AT223" s="11">
        <f t="shared" si="45"/>
        <v>222</v>
      </c>
      <c r="AU223" s="12" t="str">
        <f t="shared" si="46"/>
        <v/>
      </c>
    </row>
    <row r="224" spans="15:47" ht="18" customHeight="1">
      <c r="O224" s="2" t="str">
        <f t="shared" si="38"/>
        <v>STAGE 1, 3, 4 メイン・ルーチン</v>
      </c>
      <c r="X224" s="7" t="str">
        <f t="shared" si="39"/>
        <v>C3F0</v>
      </c>
      <c r="Y224" s="19"/>
      <c r="Z224" s="9" t="str">
        <f t="shared" si="40"/>
        <v>:00</v>
      </c>
      <c r="AB224" s="6">
        <f t="shared" si="41"/>
        <v>8</v>
      </c>
      <c r="AC224" s="6">
        <f t="shared" si="42"/>
        <v>195</v>
      </c>
      <c r="AD224" s="6">
        <f t="shared" si="43"/>
        <v>240</v>
      </c>
      <c r="AE224" s="9">
        <f t="shared" si="48"/>
        <v>0</v>
      </c>
      <c r="AF224" s="9">
        <f t="shared" si="48"/>
        <v>0</v>
      </c>
      <c r="AG224" s="9">
        <f t="shared" si="48"/>
        <v>0</v>
      </c>
      <c r="AH224" s="9">
        <f t="shared" si="48"/>
        <v>0</v>
      </c>
      <c r="AI224" s="9">
        <f t="shared" si="48"/>
        <v>0</v>
      </c>
      <c r="AJ224" s="9">
        <f t="shared" si="48"/>
        <v>0</v>
      </c>
      <c r="AK224" s="9">
        <f t="shared" si="48"/>
        <v>0</v>
      </c>
      <c r="AL224" s="9">
        <f t="shared" si="47"/>
        <v>0</v>
      </c>
      <c r="AM224" s="10" t="str">
        <f t="shared" si="44"/>
        <v>45</v>
      </c>
      <c r="AO224" s="2" t="s">
        <v>10</v>
      </c>
      <c r="AT224" s="11">
        <f t="shared" si="45"/>
        <v>223</v>
      </c>
      <c r="AU224" s="12" t="str">
        <f t="shared" si="46"/>
        <v/>
      </c>
    </row>
    <row r="225" spans="15:47" ht="18" customHeight="1">
      <c r="O225" s="2" t="str">
        <f t="shared" si="38"/>
        <v>STAGE 1, 3, 4 メイン・ルーチン</v>
      </c>
      <c r="X225" s="7" t="str">
        <f t="shared" si="39"/>
        <v>C3F8</v>
      </c>
      <c r="Y225" s="19"/>
      <c r="Z225" s="9" t="str">
        <f t="shared" si="40"/>
        <v>:00</v>
      </c>
      <c r="AB225" s="6">
        <f t="shared" si="41"/>
        <v>8</v>
      </c>
      <c r="AC225" s="6">
        <f t="shared" si="42"/>
        <v>195</v>
      </c>
      <c r="AD225" s="6">
        <f t="shared" si="43"/>
        <v>248</v>
      </c>
      <c r="AE225" s="9">
        <f t="shared" si="48"/>
        <v>0</v>
      </c>
      <c r="AF225" s="9">
        <f t="shared" si="48"/>
        <v>0</v>
      </c>
      <c r="AG225" s="9">
        <f t="shared" si="48"/>
        <v>0</v>
      </c>
      <c r="AH225" s="9">
        <f t="shared" si="48"/>
        <v>0</v>
      </c>
      <c r="AI225" s="9">
        <f t="shared" si="48"/>
        <v>0</v>
      </c>
      <c r="AJ225" s="9">
        <f t="shared" si="48"/>
        <v>0</v>
      </c>
      <c r="AK225" s="9">
        <f t="shared" si="48"/>
        <v>0</v>
      </c>
      <c r="AL225" s="9">
        <f t="shared" si="47"/>
        <v>0</v>
      </c>
      <c r="AM225" s="10" t="str">
        <f t="shared" si="44"/>
        <v>3D</v>
      </c>
      <c r="AO225" s="2" t="s">
        <v>10</v>
      </c>
      <c r="AT225" s="11">
        <f t="shared" si="45"/>
        <v>224</v>
      </c>
      <c r="AU225" s="12" t="str">
        <f t="shared" si="46"/>
        <v/>
      </c>
    </row>
    <row r="226" spans="15:47" ht="18" customHeight="1">
      <c r="O226" s="2" t="str">
        <f t="shared" si="38"/>
        <v>STAGE 1, 3, 4 メイン・ルーチン</v>
      </c>
      <c r="X226" s="7" t="str">
        <f t="shared" si="39"/>
        <v>C400</v>
      </c>
      <c r="Y226" s="19"/>
      <c r="Z226" s="9" t="str">
        <f t="shared" si="40"/>
        <v>:00</v>
      </c>
      <c r="AB226" s="6">
        <f t="shared" si="41"/>
        <v>8</v>
      </c>
      <c r="AC226" s="6">
        <f t="shared" si="42"/>
        <v>196</v>
      </c>
      <c r="AD226" s="6">
        <f t="shared" si="43"/>
        <v>0</v>
      </c>
      <c r="AE226" s="9">
        <f t="shared" si="48"/>
        <v>0</v>
      </c>
      <c r="AF226" s="9">
        <f t="shared" si="48"/>
        <v>0</v>
      </c>
      <c r="AG226" s="9">
        <f t="shared" si="48"/>
        <v>0</v>
      </c>
      <c r="AH226" s="9">
        <f t="shared" si="48"/>
        <v>0</v>
      </c>
      <c r="AI226" s="9">
        <f t="shared" si="48"/>
        <v>0</v>
      </c>
      <c r="AJ226" s="9">
        <f t="shared" si="48"/>
        <v>0</v>
      </c>
      <c r="AK226" s="9">
        <f t="shared" si="48"/>
        <v>0</v>
      </c>
      <c r="AL226" s="9">
        <f t="shared" si="47"/>
        <v>0</v>
      </c>
      <c r="AM226" s="10" t="str">
        <f t="shared" si="44"/>
        <v>34</v>
      </c>
      <c r="AO226" s="2" t="s">
        <v>10</v>
      </c>
      <c r="AT226" s="11">
        <f t="shared" si="45"/>
        <v>225</v>
      </c>
      <c r="AU226" s="12" t="str">
        <f t="shared" si="46"/>
        <v/>
      </c>
    </row>
    <row r="227" spans="15:47" ht="18" customHeight="1">
      <c r="O227" s="2" t="str">
        <f t="shared" si="38"/>
        <v>STAGE 1, 3, 4 メイン・ルーチン</v>
      </c>
      <c r="X227" s="7" t="str">
        <f t="shared" si="39"/>
        <v>C408</v>
      </c>
      <c r="Y227" s="19"/>
      <c r="Z227" s="9" t="str">
        <f t="shared" si="40"/>
        <v>:00</v>
      </c>
      <c r="AB227" s="6">
        <f t="shared" si="41"/>
        <v>8</v>
      </c>
      <c r="AC227" s="6">
        <f t="shared" si="42"/>
        <v>196</v>
      </c>
      <c r="AD227" s="6">
        <f t="shared" si="43"/>
        <v>8</v>
      </c>
      <c r="AE227" s="9">
        <f t="shared" si="48"/>
        <v>0</v>
      </c>
      <c r="AF227" s="9">
        <f t="shared" si="48"/>
        <v>0</v>
      </c>
      <c r="AG227" s="9">
        <f t="shared" si="48"/>
        <v>0</v>
      </c>
      <c r="AH227" s="9">
        <f t="shared" si="48"/>
        <v>0</v>
      </c>
      <c r="AI227" s="9">
        <f t="shared" si="48"/>
        <v>0</v>
      </c>
      <c r="AJ227" s="9">
        <f t="shared" si="48"/>
        <v>0</v>
      </c>
      <c r="AK227" s="9">
        <f t="shared" si="48"/>
        <v>0</v>
      </c>
      <c r="AL227" s="9">
        <f t="shared" si="47"/>
        <v>0</v>
      </c>
      <c r="AM227" s="10" t="str">
        <f t="shared" si="44"/>
        <v>2C</v>
      </c>
      <c r="AO227" s="2" t="s">
        <v>10</v>
      </c>
      <c r="AT227" s="11">
        <f t="shared" si="45"/>
        <v>226</v>
      </c>
      <c r="AU227" s="12" t="str">
        <f t="shared" si="46"/>
        <v/>
      </c>
    </row>
    <row r="228" spans="15:47" ht="18" customHeight="1">
      <c r="O228" s="2" t="str">
        <f t="shared" si="38"/>
        <v>STAGE 1, 3, 4 メイン・ルーチン</v>
      </c>
      <c r="X228" s="7" t="str">
        <f t="shared" si="39"/>
        <v>C410</v>
      </c>
      <c r="Y228" s="19"/>
      <c r="Z228" s="9" t="str">
        <f t="shared" si="40"/>
        <v>:00</v>
      </c>
      <c r="AB228" s="6">
        <f t="shared" si="41"/>
        <v>8</v>
      </c>
      <c r="AC228" s="6">
        <f t="shared" si="42"/>
        <v>196</v>
      </c>
      <c r="AD228" s="6">
        <f t="shared" si="43"/>
        <v>16</v>
      </c>
      <c r="AE228" s="9">
        <f t="shared" si="48"/>
        <v>0</v>
      </c>
      <c r="AF228" s="9">
        <f t="shared" si="48"/>
        <v>0</v>
      </c>
      <c r="AG228" s="9">
        <f t="shared" si="48"/>
        <v>0</v>
      </c>
      <c r="AH228" s="9">
        <f t="shared" si="48"/>
        <v>0</v>
      </c>
      <c r="AI228" s="9">
        <f t="shared" si="48"/>
        <v>0</v>
      </c>
      <c r="AJ228" s="9">
        <f t="shared" si="48"/>
        <v>0</v>
      </c>
      <c r="AK228" s="9">
        <f t="shared" si="48"/>
        <v>0</v>
      </c>
      <c r="AL228" s="9">
        <f t="shared" si="47"/>
        <v>0</v>
      </c>
      <c r="AM228" s="10" t="str">
        <f t="shared" si="44"/>
        <v>24</v>
      </c>
      <c r="AO228" s="2" t="s">
        <v>10</v>
      </c>
      <c r="AT228" s="11">
        <f t="shared" si="45"/>
        <v>227</v>
      </c>
      <c r="AU228" s="12" t="str">
        <f t="shared" si="46"/>
        <v/>
      </c>
    </row>
    <row r="229" spans="15:47" ht="18" customHeight="1">
      <c r="O229" s="2" t="str">
        <f t="shared" ref="O229:O252" si="49">$A$13</f>
        <v>サブルーチン群（効果音出力他）</v>
      </c>
      <c r="X229" s="7" t="str">
        <f t="shared" si="39"/>
        <v>C418</v>
      </c>
      <c r="Y229" s="19"/>
      <c r="Z229" s="9" t="str">
        <f t="shared" si="40"/>
        <v>:00</v>
      </c>
      <c r="AB229" s="6">
        <f t="shared" si="41"/>
        <v>8</v>
      </c>
      <c r="AC229" s="6">
        <f t="shared" si="42"/>
        <v>196</v>
      </c>
      <c r="AD229" s="6">
        <f t="shared" si="43"/>
        <v>24</v>
      </c>
      <c r="AE229" s="9">
        <f t="shared" si="48"/>
        <v>0</v>
      </c>
      <c r="AF229" s="9">
        <f t="shared" si="48"/>
        <v>0</v>
      </c>
      <c r="AG229" s="9">
        <f t="shared" si="48"/>
        <v>0</v>
      </c>
      <c r="AH229" s="9">
        <f t="shared" si="48"/>
        <v>0</v>
      </c>
      <c r="AI229" s="9">
        <f t="shared" si="48"/>
        <v>0</v>
      </c>
      <c r="AJ229" s="9">
        <f t="shared" si="48"/>
        <v>0</v>
      </c>
      <c r="AK229" s="9">
        <f t="shared" si="48"/>
        <v>0</v>
      </c>
      <c r="AL229" s="9">
        <f t="shared" si="47"/>
        <v>0</v>
      </c>
      <c r="AM229" s="10" t="str">
        <f t="shared" si="44"/>
        <v>1C</v>
      </c>
      <c r="AO229" s="2" t="s">
        <v>10</v>
      </c>
      <c r="AT229" s="11">
        <f t="shared" si="45"/>
        <v>228</v>
      </c>
      <c r="AU229" s="12" t="str">
        <f t="shared" si="46"/>
        <v/>
      </c>
    </row>
    <row r="230" spans="15:47" ht="18" customHeight="1">
      <c r="O230" s="2" t="str">
        <f t="shared" si="49"/>
        <v>サブルーチン群（効果音出力他）</v>
      </c>
      <c r="X230" s="7" t="str">
        <f t="shared" si="39"/>
        <v>C420</v>
      </c>
      <c r="Y230" s="19"/>
      <c r="Z230" s="9" t="str">
        <f t="shared" si="40"/>
        <v>:00</v>
      </c>
      <c r="AB230" s="6">
        <f t="shared" si="41"/>
        <v>8</v>
      </c>
      <c r="AC230" s="6">
        <f t="shared" si="42"/>
        <v>196</v>
      </c>
      <c r="AD230" s="6">
        <f t="shared" si="43"/>
        <v>32</v>
      </c>
      <c r="AE230" s="9">
        <f t="shared" si="48"/>
        <v>0</v>
      </c>
      <c r="AF230" s="9">
        <f t="shared" si="48"/>
        <v>0</v>
      </c>
      <c r="AG230" s="9">
        <f t="shared" si="48"/>
        <v>0</v>
      </c>
      <c r="AH230" s="9">
        <f t="shared" si="48"/>
        <v>0</v>
      </c>
      <c r="AI230" s="9">
        <f t="shared" si="48"/>
        <v>0</v>
      </c>
      <c r="AJ230" s="9">
        <f t="shared" si="48"/>
        <v>0</v>
      </c>
      <c r="AK230" s="9">
        <f t="shared" si="48"/>
        <v>0</v>
      </c>
      <c r="AL230" s="9">
        <f t="shared" si="47"/>
        <v>0</v>
      </c>
      <c r="AM230" s="10" t="str">
        <f t="shared" si="44"/>
        <v>14</v>
      </c>
      <c r="AO230" s="2" t="s">
        <v>10</v>
      </c>
      <c r="AT230" s="11">
        <f t="shared" si="45"/>
        <v>229</v>
      </c>
      <c r="AU230" s="12" t="str">
        <f t="shared" si="46"/>
        <v/>
      </c>
    </row>
    <row r="231" spans="15:47" ht="18" customHeight="1">
      <c r="O231" s="2" t="str">
        <f t="shared" si="49"/>
        <v>サブルーチン群（効果音出力他）</v>
      </c>
      <c r="X231" s="7" t="str">
        <f t="shared" si="39"/>
        <v>C428</v>
      </c>
      <c r="Y231" s="19"/>
      <c r="Z231" s="9" t="str">
        <f t="shared" si="40"/>
        <v>:00</v>
      </c>
      <c r="AB231" s="6">
        <f t="shared" si="41"/>
        <v>8</v>
      </c>
      <c r="AC231" s="6">
        <f t="shared" si="42"/>
        <v>196</v>
      </c>
      <c r="AD231" s="6">
        <f t="shared" si="43"/>
        <v>40</v>
      </c>
      <c r="AE231" s="9">
        <f t="shared" si="48"/>
        <v>0</v>
      </c>
      <c r="AF231" s="9">
        <f t="shared" si="48"/>
        <v>0</v>
      </c>
      <c r="AG231" s="9">
        <f t="shared" si="48"/>
        <v>0</v>
      </c>
      <c r="AH231" s="9">
        <f t="shared" si="48"/>
        <v>0</v>
      </c>
      <c r="AI231" s="9">
        <f t="shared" si="48"/>
        <v>0</v>
      </c>
      <c r="AJ231" s="9">
        <f t="shared" si="48"/>
        <v>0</v>
      </c>
      <c r="AK231" s="9">
        <f t="shared" si="48"/>
        <v>0</v>
      </c>
      <c r="AL231" s="9">
        <f t="shared" si="47"/>
        <v>0</v>
      </c>
      <c r="AM231" s="10" t="str">
        <f t="shared" si="44"/>
        <v>0C</v>
      </c>
      <c r="AO231" s="2" t="s">
        <v>10</v>
      </c>
      <c r="AT231" s="11">
        <f t="shared" si="45"/>
        <v>230</v>
      </c>
      <c r="AU231" s="12" t="str">
        <f t="shared" si="46"/>
        <v/>
      </c>
    </row>
    <row r="232" spans="15:47" ht="18" customHeight="1">
      <c r="O232" s="2" t="str">
        <f t="shared" si="49"/>
        <v>サブルーチン群（効果音出力他）</v>
      </c>
      <c r="X232" s="7" t="str">
        <f t="shared" si="39"/>
        <v>C430</v>
      </c>
      <c r="Y232" s="19"/>
      <c r="Z232" s="9" t="str">
        <f t="shared" si="40"/>
        <v>:00</v>
      </c>
      <c r="AB232" s="6">
        <f t="shared" si="41"/>
        <v>8</v>
      </c>
      <c r="AC232" s="6">
        <f t="shared" si="42"/>
        <v>196</v>
      </c>
      <c r="AD232" s="6">
        <f t="shared" si="43"/>
        <v>48</v>
      </c>
      <c r="AE232" s="9">
        <f t="shared" si="48"/>
        <v>0</v>
      </c>
      <c r="AF232" s="9">
        <f t="shared" si="48"/>
        <v>0</v>
      </c>
      <c r="AG232" s="9">
        <f t="shared" si="48"/>
        <v>0</v>
      </c>
      <c r="AH232" s="9">
        <f t="shared" si="48"/>
        <v>0</v>
      </c>
      <c r="AI232" s="9">
        <f t="shared" si="48"/>
        <v>0</v>
      </c>
      <c r="AJ232" s="9">
        <f t="shared" si="48"/>
        <v>0</v>
      </c>
      <c r="AK232" s="9">
        <f t="shared" si="48"/>
        <v>0</v>
      </c>
      <c r="AL232" s="9">
        <f t="shared" si="47"/>
        <v>0</v>
      </c>
      <c r="AM232" s="10" t="str">
        <f t="shared" si="44"/>
        <v>04</v>
      </c>
      <c r="AO232" s="2" t="s">
        <v>10</v>
      </c>
      <c r="AT232" s="11">
        <f t="shared" si="45"/>
        <v>231</v>
      </c>
      <c r="AU232" s="12" t="str">
        <f t="shared" si="46"/>
        <v/>
      </c>
    </row>
    <row r="233" spans="15:47" ht="18" customHeight="1">
      <c r="O233" s="2" t="str">
        <f t="shared" si="49"/>
        <v>サブルーチン群（効果音出力他）</v>
      </c>
      <c r="X233" s="7" t="str">
        <f t="shared" si="39"/>
        <v>C438</v>
      </c>
      <c r="Y233" s="19"/>
      <c r="Z233" s="9" t="str">
        <f t="shared" si="40"/>
        <v>:00</v>
      </c>
      <c r="AB233" s="6">
        <f t="shared" si="41"/>
        <v>8</v>
      </c>
      <c r="AC233" s="6">
        <f t="shared" si="42"/>
        <v>196</v>
      </c>
      <c r="AD233" s="6">
        <f t="shared" si="43"/>
        <v>56</v>
      </c>
      <c r="AE233" s="9">
        <f t="shared" si="48"/>
        <v>0</v>
      </c>
      <c r="AF233" s="9">
        <f t="shared" si="48"/>
        <v>0</v>
      </c>
      <c r="AG233" s="9">
        <f t="shared" si="48"/>
        <v>0</v>
      </c>
      <c r="AH233" s="9">
        <f t="shared" si="48"/>
        <v>0</v>
      </c>
      <c r="AI233" s="9">
        <f t="shared" si="48"/>
        <v>0</v>
      </c>
      <c r="AJ233" s="9">
        <f t="shared" si="48"/>
        <v>0</v>
      </c>
      <c r="AK233" s="9">
        <f t="shared" si="48"/>
        <v>0</v>
      </c>
      <c r="AL233" s="9">
        <f t="shared" si="47"/>
        <v>0</v>
      </c>
      <c r="AM233" s="10" t="str">
        <f t="shared" si="44"/>
        <v>FC</v>
      </c>
      <c r="AO233" s="2" t="s">
        <v>10</v>
      </c>
      <c r="AT233" s="11">
        <f t="shared" si="45"/>
        <v>232</v>
      </c>
      <c r="AU233" s="12" t="str">
        <f t="shared" si="46"/>
        <v/>
      </c>
    </row>
    <row r="234" spans="15:47" ht="18" customHeight="1">
      <c r="O234" s="2" t="str">
        <f t="shared" si="49"/>
        <v>サブルーチン群（効果音出力他）</v>
      </c>
      <c r="X234" s="7" t="str">
        <f t="shared" si="39"/>
        <v>C440</v>
      </c>
      <c r="Y234" s="19"/>
      <c r="Z234" s="9" t="str">
        <f t="shared" si="40"/>
        <v>:00</v>
      </c>
      <c r="AB234" s="6">
        <f t="shared" si="41"/>
        <v>8</v>
      </c>
      <c r="AC234" s="6">
        <f t="shared" si="42"/>
        <v>196</v>
      </c>
      <c r="AD234" s="6">
        <f t="shared" si="43"/>
        <v>64</v>
      </c>
      <c r="AE234" s="9">
        <f t="shared" si="48"/>
        <v>0</v>
      </c>
      <c r="AF234" s="9">
        <f t="shared" si="48"/>
        <v>0</v>
      </c>
      <c r="AG234" s="9">
        <f t="shared" si="48"/>
        <v>0</v>
      </c>
      <c r="AH234" s="9">
        <f t="shared" si="48"/>
        <v>0</v>
      </c>
      <c r="AI234" s="9">
        <f t="shared" si="48"/>
        <v>0</v>
      </c>
      <c r="AJ234" s="9">
        <f t="shared" si="48"/>
        <v>0</v>
      </c>
      <c r="AK234" s="9">
        <f t="shared" si="48"/>
        <v>0</v>
      </c>
      <c r="AL234" s="9">
        <f t="shared" si="47"/>
        <v>0</v>
      </c>
      <c r="AM234" s="10" t="str">
        <f t="shared" si="44"/>
        <v>F4</v>
      </c>
      <c r="AO234" s="2" t="s">
        <v>10</v>
      </c>
      <c r="AT234" s="11">
        <f t="shared" si="45"/>
        <v>233</v>
      </c>
      <c r="AU234" s="12" t="str">
        <f t="shared" si="46"/>
        <v/>
      </c>
    </row>
    <row r="235" spans="15:47" ht="18" customHeight="1">
      <c r="O235" s="2" t="str">
        <f t="shared" si="49"/>
        <v>サブルーチン群（効果音出力他）</v>
      </c>
      <c r="X235" s="7" t="str">
        <f t="shared" si="39"/>
        <v>C448</v>
      </c>
      <c r="Y235" s="19"/>
      <c r="Z235" s="9" t="str">
        <f t="shared" si="40"/>
        <v>:00</v>
      </c>
      <c r="AB235" s="6">
        <f t="shared" si="41"/>
        <v>8</v>
      </c>
      <c r="AC235" s="6">
        <f t="shared" si="42"/>
        <v>196</v>
      </c>
      <c r="AD235" s="6">
        <f t="shared" si="43"/>
        <v>72</v>
      </c>
      <c r="AE235" s="9">
        <f t="shared" si="48"/>
        <v>0</v>
      </c>
      <c r="AF235" s="9">
        <f t="shared" si="48"/>
        <v>0</v>
      </c>
      <c r="AG235" s="9">
        <f t="shared" si="48"/>
        <v>0</v>
      </c>
      <c r="AH235" s="9">
        <f t="shared" si="48"/>
        <v>0</v>
      </c>
      <c r="AI235" s="9">
        <f t="shared" si="48"/>
        <v>0</v>
      </c>
      <c r="AJ235" s="9">
        <f t="shared" si="48"/>
        <v>0</v>
      </c>
      <c r="AK235" s="9">
        <f t="shared" si="48"/>
        <v>0</v>
      </c>
      <c r="AL235" s="9">
        <f t="shared" si="47"/>
        <v>0</v>
      </c>
      <c r="AM235" s="10" t="str">
        <f t="shared" si="44"/>
        <v>EC</v>
      </c>
      <c r="AO235" s="2" t="s">
        <v>10</v>
      </c>
      <c r="AT235" s="11">
        <f t="shared" si="45"/>
        <v>234</v>
      </c>
      <c r="AU235" s="12" t="str">
        <f t="shared" si="46"/>
        <v/>
      </c>
    </row>
    <row r="236" spans="15:47" ht="18" customHeight="1">
      <c r="O236" s="2" t="str">
        <f t="shared" si="49"/>
        <v>サブルーチン群（効果音出力他）</v>
      </c>
      <c r="X236" s="7" t="str">
        <f t="shared" si="39"/>
        <v>C450</v>
      </c>
      <c r="Y236" s="19"/>
      <c r="Z236" s="9" t="str">
        <f t="shared" si="40"/>
        <v>:00</v>
      </c>
      <c r="AB236" s="6">
        <f t="shared" si="41"/>
        <v>8</v>
      </c>
      <c r="AC236" s="6">
        <f t="shared" si="42"/>
        <v>196</v>
      </c>
      <c r="AD236" s="6">
        <f t="shared" si="43"/>
        <v>80</v>
      </c>
      <c r="AE236" s="9">
        <f t="shared" si="48"/>
        <v>0</v>
      </c>
      <c r="AF236" s="9">
        <f t="shared" si="48"/>
        <v>0</v>
      </c>
      <c r="AG236" s="9">
        <f t="shared" si="48"/>
        <v>0</v>
      </c>
      <c r="AH236" s="9">
        <f t="shared" si="48"/>
        <v>0</v>
      </c>
      <c r="AI236" s="9">
        <f t="shared" si="48"/>
        <v>0</v>
      </c>
      <c r="AJ236" s="9">
        <f t="shared" si="48"/>
        <v>0</v>
      </c>
      <c r="AK236" s="9">
        <f t="shared" si="48"/>
        <v>0</v>
      </c>
      <c r="AL236" s="9">
        <f t="shared" si="47"/>
        <v>0</v>
      </c>
      <c r="AM236" s="10" t="str">
        <f t="shared" si="44"/>
        <v>E4</v>
      </c>
      <c r="AO236" s="2" t="s">
        <v>10</v>
      </c>
      <c r="AT236" s="11">
        <f t="shared" si="45"/>
        <v>235</v>
      </c>
      <c r="AU236" s="12" t="str">
        <f t="shared" si="46"/>
        <v/>
      </c>
    </row>
    <row r="237" spans="15:47" ht="18" customHeight="1">
      <c r="O237" s="2" t="str">
        <f t="shared" si="49"/>
        <v>サブルーチン群（効果音出力他）</v>
      </c>
      <c r="X237" s="7" t="str">
        <f t="shared" si="39"/>
        <v>C458</v>
      </c>
      <c r="Y237" s="19"/>
      <c r="Z237" s="9" t="str">
        <f t="shared" si="40"/>
        <v>:00</v>
      </c>
      <c r="AB237" s="6">
        <f t="shared" si="41"/>
        <v>8</v>
      </c>
      <c r="AC237" s="6">
        <f t="shared" si="42"/>
        <v>196</v>
      </c>
      <c r="AD237" s="6">
        <f t="shared" si="43"/>
        <v>88</v>
      </c>
      <c r="AE237" s="9">
        <f t="shared" si="48"/>
        <v>0</v>
      </c>
      <c r="AF237" s="9">
        <f t="shared" si="48"/>
        <v>0</v>
      </c>
      <c r="AG237" s="9">
        <f t="shared" si="48"/>
        <v>0</v>
      </c>
      <c r="AH237" s="9">
        <f t="shared" si="48"/>
        <v>0</v>
      </c>
      <c r="AI237" s="9">
        <f t="shared" si="48"/>
        <v>0</v>
      </c>
      <c r="AJ237" s="9">
        <f t="shared" si="48"/>
        <v>0</v>
      </c>
      <c r="AK237" s="9">
        <f t="shared" si="48"/>
        <v>0</v>
      </c>
      <c r="AL237" s="9">
        <f t="shared" si="47"/>
        <v>0</v>
      </c>
      <c r="AM237" s="10" t="str">
        <f t="shared" si="44"/>
        <v>DC</v>
      </c>
      <c r="AO237" s="2" t="s">
        <v>10</v>
      </c>
      <c r="AT237" s="11">
        <f t="shared" si="45"/>
        <v>236</v>
      </c>
      <c r="AU237" s="12" t="str">
        <f t="shared" si="46"/>
        <v/>
      </c>
    </row>
    <row r="238" spans="15:47" ht="18" customHeight="1">
      <c r="O238" s="2" t="str">
        <f t="shared" si="49"/>
        <v>サブルーチン群（効果音出力他）</v>
      </c>
      <c r="X238" s="7" t="str">
        <f t="shared" si="39"/>
        <v>C460</v>
      </c>
      <c r="Y238" s="19"/>
      <c r="Z238" s="9" t="str">
        <f t="shared" si="40"/>
        <v>:00</v>
      </c>
      <c r="AB238" s="6">
        <f t="shared" si="41"/>
        <v>8</v>
      </c>
      <c r="AC238" s="6">
        <f t="shared" si="42"/>
        <v>196</v>
      </c>
      <c r="AD238" s="6">
        <f t="shared" si="43"/>
        <v>96</v>
      </c>
      <c r="AE238" s="9">
        <f t="shared" si="48"/>
        <v>0</v>
      </c>
      <c r="AF238" s="9">
        <f t="shared" si="48"/>
        <v>0</v>
      </c>
      <c r="AG238" s="9">
        <f t="shared" si="48"/>
        <v>0</v>
      </c>
      <c r="AH238" s="9">
        <f t="shared" si="48"/>
        <v>0</v>
      </c>
      <c r="AI238" s="9">
        <f t="shared" si="48"/>
        <v>0</v>
      </c>
      <c r="AJ238" s="9">
        <f t="shared" si="48"/>
        <v>0</v>
      </c>
      <c r="AK238" s="9">
        <f t="shared" si="48"/>
        <v>0</v>
      </c>
      <c r="AL238" s="9">
        <f t="shared" si="47"/>
        <v>0</v>
      </c>
      <c r="AM238" s="10" t="str">
        <f t="shared" si="44"/>
        <v>D4</v>
      </c>
      <c r="AO238" s="2" t="s">
        <v>10</v>
      </c>
      <c r="AT238" s="11">
        <f t="shared" si="45"/>
        <v>237</v>
      </c>
      <c r="AU238" s="12" t="str">
        <f t="shared" si="46"/>
        <v/>
      </c>
    </row>
    <row r="239" spans="15:47" ht="18" customHeight="1">
      <c r="O239" s="2" t="str">
        <f t="shared" si="49"/>
        <v>サブルーチン群（効果音出力他）</v>
      </c>
      <c r="X239" s="7" t="str">
        <f t="shared" si="39"/>
        <v>C468</v>
      </c>
      <c r="Y239" s="19"/>
      <c r="Z239" s="9" t="str">
        <f t="shared" si="40"/>
        <v>:00</v>
      </c>
      <c r="AB239" s="6">
        <f t="shared" si="41"/>
        <v>8</v>
      </c>
      <c r="AC239" s="6">
        <f t="shared" si="42"/>
        <v>196</v>
      </c>
      <c r="AD239" s="6">
        <f t="shared" si="43"/>
        <v>104</v>
      </c>
      <c r="AE239" s="9">
        <f t="shared" si="48"/>
        <v>0</v>
      </c>
      <c r="AF239" s="9">
        <f t="shared" si="48"/>
        <v>0</v>
      </c>
      <c r="AG239" s="9">
        <f t="shared" si="48"/>
        <v>0</v>
      </c>
      <c r="AH239" s="9">
        <f t="shared" si="48"/>
        <v>0</v>
      </c>
      <c r="AI239" s="9">
        <f t="shared" si="48"/>
        <v>0</v>
      </c>
      <c r="AJ239" s="9">
        <f t="shared" si="48"/>
        <v>0</v>
      </c>
      <c r="AK239" s="9">
        <f t="shared" si="48"/>
        <v>0</v>
      </c>
      <c r="AL239" s="9">
        <f t="shared" si="47"/>
        <v>0</v>
      </c>
      <c r="AM239" s="10" t="str">
        <f t="shared" si="44"/>
        <v>CC</v>
      </c>
      <c r="AO239" s="2" t="s">
        <v>10</v>
      </c>
      <c r="AT239" s="11">
        <f t="shared" si="45"/>
        <v>238</v>
      </c>
      <c r="AU239" s="12" t="str">
        <f t="shared" si="46"/>
        <v/>
      </c>
    </row>
    <row r="240" spans="15:47" ht="18" customHeight="1">
      <c r="O240" s="2" t="str">
        <f t="shared" si="49"/>
        <v>サブルーチン群（効果音出力他）</v>
      </c>
      <c r="X240" s="7" t="str">
        <f t="shared" si="39"/>
        <v>C470</v>
      </c>
      <c r="Y240" s="19"/>
      <c r="Z240" s="9" t="str">
        <f t="shared" si="40"/>
        <v>:00</v>
      </c>
      <c r="AB240" s="6">
        <f t="shared" si="41"/>
        <v>8</v>
      </c>
      <c r="AC240" s="6">
        <f t="shared" si="42"/>
        <v>196</v>
      </c>
      <c r="AD240" s="6">
        <f t="shared" si="43"/>
        <v>112</v>
      </c>
      <c r="AE240" s="9">
        <f t="shared" si="48"/>
        <v>0</v>
      </c>
      <c r="AF240" s="9">
        <f t="shared" si="48"/>
        <v>0</v>
      </c>
      <c r="AG240" s="9">
        <f t="shared" si="48"/>
        <v>0</v>
      </c>
      <c r="AH240" s="9">
        <f t="shared" si="48"/>
        <v>0</v>
      </c>
      <c r="AI240" s="9">
        <f t="shared" si="48"/>
        <v>0</v>
      </c>
      <c r="AJ240" s="9">
        <f t="shared" si="48"/>
        <v>0</v>
      </c>
      <c r="AK240" s="9">
        <f t="shared" si="48"/>
        <v>0</v>
      </c>
      <c r="AL240" s="9">
        <f t="shared" si="47"/>
        <v>0</v>
      </c>
      <c r="AM240" s="10" t="str">
        <f t="shared" si="44"/>
        <v>C4</v>
      </c>
      <c r="AO240" s="2" t="s">
        <v>10</v>
      </c>
      <c r="AT240" s="11">
        <f t="shared" si="45"/>
        <v>239</v>
      </c>
      <c r="AU240" s="12" t="str">
        <f t="shared" si="46"/>
        <v/>
      </c>
    </row>
    <row r="241" spans="15:47" ht="18" customHeight="1">
      <c r="O241" s="2" t="str">
        <f t="shared" si="49"/>
        <v>サブルーチン群（効果音出力他）</v>
      </c>
      <c r="X241" s="7" t="str">
        <f t="shared" si="39"/>
        <v>C478</v>
      </c>
      <c r="Y241" s="19"/>
      <c r="Z241" s="9" t="str">
        <f t="shared" si="40"/>
        <v>:00</v>
      </c>
      <c r="AB241" s="6">
        <f t="shared" si="41"/>
        <v>8</v>
      </c>
      <c r="AC241" s="6">
        <f t="shared" si="42"/>
        <v>196</v>
      </c>
      <c r="AD241" s="6">
        <f t="shared" si="43"/>
        <v>120</v>
      </c>
      <c r="AE241" s="9">
        <f t="shared" si="48"/>
        <v>0</v>
      </c>
      <c r="AF241" s="9">
        <f t="shared" si="48"/>
        <v>0</v>
      </c>
      <c r="AG241" s="9">
        <f t="shared" si="48"/>
        <v>0</v>
      </c>
      <c r="AH241" s="9">
        <f t="shared" si="48"/>
        <v>0</v>
      </c>
      <c r="AI241" s="9">
        <f t="shared" si="48"/>
        <v>0</v>
      </c>
      <c r="AJ241" s="9">
        <f t="shared" si="48"/>
        <v>0</v>
      </c>
      <c r="AK241" s="9">
        <f t="shared" si="48"/>
        <v>0</v>
      </c>
      <c r="AL241" s="9">
        <f t="shared" si="47"/>
        <v>0</v>
      </c>
      <c r="AM241" s="10" t="str">
        <f t="shared" si="44"/>
        <v>BC</v>
      </c>
      <c r="AO241" s="2" t="s">
        <v>10</v>
      </c>
      <c r="AT241" s="11">
        <f t="shared" si="45"/>
        <v>240</v>
      </c>
      <c r="AU241" s="12" t="str">
        <f t="shared" si="46"/>
        <v/>
      </c>
    </row>
    <row r="242" spans="15:47" ht="18" customHeight="1">
      <c r="O242" s="2" t="str">
        <f t="shared" si="49"/>
        <v>サブルーチン群（効果音出力他）</v>
      </c>
      <c r="X242" s="7" t="str">
        <f t="shared" si="39"/>
        <v>C480</v>
      </c>
      <c r="Y242" s="19"/>
      <c r="Z242" s="9" t="str">
        <f t="shared" si="40"/>
        <v>:00</v>
      </c>
      <c r="AB242" s="6">
        <f t="shared" si="41"/>
        <v>8</v>
      </c>
      <c r="AC242" s="6">
        <f t="shared" si="42"/>
        <v>196</v>
      </c>
      <c r="AD242" s="6">
        <f t="shared" si="43"/>
        <v>128</v>
      </c>
      <c r="AE242" s="9">
        <f t="shared" si="48"/>
        <v>0</v>
      </c>
      <c r="AF242" s="9">
        <f t="shared" si="48"/>
        <v>0</v>
      </c>
      <c r="AG242" s="9">
        <f t="shared" si="48"/>
        <v>0</v>
      </c>
      <c r="AH242" s="9">
        <f t="shared" si="48"/>
        <v>0</v>
      </c>
      <c r="AI242" s="9">
        <f t="shared" si="48"/>
        <v>0</v>
      </c>
      <c r="AJ242" s="9">
        <f t="shared" si="48"/>
        <v>0</v>
      </c>
      <c r="AK242" s="9">
        <f t="shared" si="48"/>
        <v>0</v>
      </c>
      <c r="AL242" s="9">
        <f t="shared" si="47"/>
        <v>0</v>
      </c>
      <c r="AM242" s="10" t="str">
        <f t="shared" si="44"/>
        <v>B4</v>
      </c>
      <c r="AO242" s="2" t="s">
        <v>10</v>
      </c>
      <c r="AT242" s="11">
        <f t="shared" si="45"/>
        <v>241</v>
      </c>
      <c r="AU242" s="12" t="str">
        <f t="shared" si="46"/>
        <v/>
      </c>
    </row>
    <row r="243" spans="15:47" ht="18" customHeight="1">
      <c r="O243" s="2" t="str">
        <f t="shared" si="49"/>
        <v>サブルーチン群（効果音出力他）</v>
      </c>
      <c r="X243" s="7" t="str">
        <f t="shared" si="39"/>
        <v>C488</v>
      </c>
      <c r="Y243" s="19"/>
      <c r="Z243" s="9" t="str">
        <f t="shared" si="40"/>
        <v>:00</v>
      </c>
      <c r="AB243" s="6">
        <f t="shared" si="41"/>
        <v>8</v>
      </c>
      <c r="AC243" s="6">
        <f t="shared" si="42"/>
        <v>196</v>
      </c>
      <c r="AD243" s="6">
        <f t="shared" si="43"/>
        <v>136</v>
      </c>
      <c r="AE243" s="9">
        <f t="shared" si="48"/>
        <v>0</v>
      </c>
      <c r="AF243" s="9">
        <f t="shared" si="48"/>
        <v>0</v>
      </c>
      <c r="AG243" s="9">
        <f t="shared" si="48"/>
        <v>0</v>
      </c>
      <c r="AH243" s="9">
        <f t="shared" si="48"/>
        <v>0</v>
      </c>
      <c r="AI243" s="9">
        <f t="shared" si="48"/>
        <v>0</v>
      </c>
      <c r="AJ243" s="9">
        <f t="shared" si="48"/>
        <v>0</v>
      </c>
      <c r="AK243" s="9">
        <f t="shared" si="48"/>
        <v>0</v>
      </c>
      <c r="AL243" s="9">
        <f t="shared" si="47"/>
        <v>0</v>
      </c>
      <c r="AM243" s="10" t="str">
        <f t="shared" si="44"/>
        <v>AC</v>
      </c>
      <c r="AO243" s="2" t="s">
        <v>10</v>
      </c>
      <c r="AT243" s="11">
        <f t="shared" si="45"/>
        <v>242</v>
      </c>
      <c r="AU243" s="12" t="str">
        <f t="shared" si="46"/>
        <v/>
      </c>
    </row>
    <row r="244" spans="15:47" ht="18" customHeight="1">
      <c r="O244" s="2" t="str">
        <f t="shared" si="49"/>
        <v>サブルーチン群（効果音出力他）</v>
      </c>
      <c r="X244" s="7" t="str">
        <f t="shared" si="39"/>
        <v>C490</v>
      </c>
      <c r="Y244" s="19"/>
      <c r="Z244" s="9" t="str">
        <f t="shared" si="40"/>
        <v>:00</v>
      </c>
      <c r="AB244" s="6">
        <f t="shared" si="41"/>
        <v>8</v>
      </c>
      <c r="AC244" s="6">
        <f t="shared" si="42"/>
        <v>196</v>
      </c>
      <c r="AD244" s="6">
        <f t="shared" si="43"/>
        <v>144</v>
      </c>
      <c r="AE244" s="9">
        <f t="shared" si="48"/>
        <v>0</v>
      </c>
      <c r="AF244" s="9">
        <f t="shared" si="48"/>
        <v>0</v>
      </c>
      <c r="AG244" s="9">
        <f t="shared" si="48"/>
        <v>0</v>
      </c>
      <c r="AH244" s="9">
        <f t="shared" si="48"/>
        <v>0</v>
      </c>
      <c r="AI244" s="9">
        <f t="shared" si="48"/>
        <v>0</v>
      </c>
      <c r="AJ244" s="9">
        <f t="shared" si="48"/>
        <v>0</v>
      </c>
      <c r="AK244" s="9">
        <f t="shared" si="48"/>
        <v>0</v>
      </c>
      <c r="AL244" s="9">
        <f t="shared" si="47"/>
        <v>0</v>
      </c>
      <c r="AM244" s="10" t="str">
        <f t="shared" si="44"/>
        <v>A4</v>
      </c>
      <c r="AO244" s="2" t="s">
        <v>10</v>
      </c>
      <c r="AT244" s="11">
        <f t="shared" si="45"/>
        <v>243</v>
      </c>
      <c r="AU244" s="12" t="str">
        <f t="shared" si="46"/>
        <v/>
      </c>
    </row>
    <row r="245" spans="15:47" ht="18" customHeight="1">
      <c r="O245" s="2" t="str">
        <f t="shared" si="49"/>
        <v>サブルーチン群（効果音出力他）</v>
      </c>
      <c r="X245" s="7" t="str">
        <f t="shared" si="39"/>
        <v>C498</v>
      </c>
      <c r="Y245" s="19"/>
      <c r="Z245" s="9" t="str">
        <f t="shared" si="40"/>
        <v>:00</v>
      </c>
      <c r="AB245" s="6">
        <f t="shared" si="41"/>
        <v>8</v>
      </c>
      <c r="AC245" s="6">
        <f t="shared" si="42"/>
        <v>196</v>
      </c>
      <c r="AD245" s="6">
        <f t="shared" si="43"/>
        <v>152</v>
      </c>
      <c r="AE245" s="9">
        <f t="shared" si="48"/>
        <v>0</v>
      </c>
      <c r="AF245" s="9">
        <f t="shared" si="48"/>
        <v>0</v>
      </c>
      <c r="AG245" s="9">
        <f t="shared" si="48"/>
        <v>0</v>
      </c>
      <c r="AH245" s="9">
        <f t="shared" si="48"/>
        <v>0</v>
      </c>
      <c r="AI245" s="9">
        <f t="shared" si="48"/>
        <v>0</v>
      </c>
      <c r="AJ245" s="9">
        <f t="shared" si="48"/>
        <v>0</v>
      </c>
      <c r="AK245" s="9">
        <f t="shared" si="48"/>
        <v>0</v>
      </c>
      <c r="AL245" s="9">
        <f t="shared" si="47"/>
        <v>0</v>
      </c>
      <c r="AM245" s="10" t="str">
        <f t="shared" si="44"/>
        <v>9C</v>
      </c>
      <c r="AO245" s="2" t="s">
        <v>10</v>
      </c>
      <c r="AT245" s="11">
        <f t="shared" si="45"/>
        <v>244</v>
      </c>
      <c r="AU245" s="12" t="str">
        <f t="shared" si="46"/>
        <v/>
      </c>
    </row>
    <row r="246" spans="15:47" ht="18" customHeight="1">
      <c r="O246" s="2" t="str">
        <f t="shared" si="49"/>
        <v>サブルーチン群（効果音出力他）</v>
      </c>
      <c r="X246" s="7" t="str">
        <f t="shared" si="39"/>
        <v>C4A0</v>
      </c>
      <c r="Y246" s="19"/>
      <c r="Z246" s="9" t="str">
        <f t="shared" si="40"/>
        <v>:00</v>
      </c>
      <c r="AB246" s="6">
        <f t="shared" si="41"/>
        <v>8</v>
      </c>
      <c r="AC246" s="6">
        <f t="shared" si="42"/>
        <v>196</v>
      </c>
      <c r="AD246" s="6">
        <f t="shared" si="43"/>
        <v>160</v>
      </c>
      <c r="AE246" s="9">
        <f t="shared" ref="AE246:AL277" si="50">HEX2DEC(MID($Y246,(COLUMN(AE246) - COLUMN($AE246)) * 2 + 1,2))</f>
        <v>0</v>
      </c>
      <c r="AF246" s="9">
        <f t="shared" si="50"/>
        <v>0</v>
      </c>
      <c r="AG246" s="9">
        <f t="shared" si="50"/>
        <v>0</v>
      </c>
      <c r="AH246" s="9">
        <f t="shared" si="50"/>
        <v>0</v>
      </c>
      <c r="AI246" s="9">
        <f t="shared" si="50"/>
        <v>0</v>
      </c>
      <c r="AJ246" s="9">
        <f t="shared" si="50"/>
        <v>0</v>
      </c>
      <c r="AK246" s="9">
        <f t="shared" si="50"/>
        <v>0</v>
      </c>
      <c r="AL246" s="9">
        <f t="shared" si="47"/>
        <v>0</v>
      </c>
      <c r="AM246" s="10" t="str">
        <f t="shared" si="44"/>
        <v>94</v>
      </c>
      <c r="AO246" s="2" t="s">
        <v>10</v>
      </c>
      <c r="AT246" s="11">
        <f t="shared" si="45"/>
        <v>245</v>
      </c>
      <c r="AU246" s="12" t="str">
        <f t="shared" si="46"/>
        <v/>
      </c>
    </row>
    <row r="247" spans="15:47" ht="18" customHeight="1">
      <c r="O247" s="2" t="str">
        <f t="shared" si="49"/>
        <v>サブルーチン群（効果音出力他）</v>
      </c>
      <c r="X247" s="7" t="str">
        <f t="shared" si="39"/>
        <v>C4A8</v>
      </c>
      <c r="Y247" s="19"/>
      <c r="Z247" s="9" t="str">
        <f t="shared" si="40"/>
        <v>:00</v>
      </c>
      <c r="AB247" s="6">
        <f t="shared" si="41"/>
        <v>8</v>
      </c>
      <c r="AC247" s="6">
        <f t="shared" si="42"/>
        <v>196</v>
      </c>
      <c r="AD247" s="6">
        <f t="shared" si="43"/>
        <v>168</v>
      </c>
      <c r="AE247" s="9">
        <f t="shared" si="50"/>
        <v>0</v>
      </c>
      <c r="AF247" s="9">
        <f t="shared" si="50"/>
        <v>0</v>
      </c>
      <c r="AG247" s="9">
        <f t="shared" si="50"/>
        <v>0</v>
      </c>
      <c r="AH247" s="9">
        <f t="shared" si="50"/>
        <v>0</v>
      </c>
      <c r="AI247" s="9">
        <f t="shared" si="50"/>
        <v>0</v>
      </c>
      <c r="AJ247" s="9">
        <f t="shared" si="50"/>
        <v>0</v>
      </c>
      <c r="AK247" s="9">
        <f t="shared" si="50"/>
        <v>0</v>
      </c>
      <c r="AL247" s="9">
        <f t="shared" si="47"/>
        <v>0</v>
      </c>
      <c r="AM247" s="10" t="str">
        <f t="shared" si="44"/>
        <v>8C</v>
      </c>
      <c r="AO247" s="2" t="s">
        <v>10</v>
      </c>
      <c r="AT247" s="11">
        <f t="shared" si="45"/>
        <v>246</v>
      </c>
      <c r="AU247" s="12" t="str">
        <f t="shared" si="46"/>
        <v/>
      </c>
    </row>
    <row r="248" spans="15:47" ht="18" customHeight="1">
      <c r="O248" s="2" t="str">
        <f t="shared" si="49"/>
        <v>サブルーチン群（効果音出力他）</v>
      </c>
      <c r="X248" s="7" t="str">
        <f t="shared" si="39"/>
        <v>C4B0</v>
      </c>
      <c r="Y248" s="19"/>
      <c r="Z248" s="9" t="str">
        <f t="shared" si="40"/>
        <v>:00</v>
      </c>
      <c r="AB248" s="6">
        <f t="shared" si="41"/>
        <v>8</v>
      </c>
      <c r="AC248" s="6">
        <f t="shared" si="42"/>
        <v>196</v>
      </c>
      <c r="AD248" s="6">
        <f t="shared" si="43"/>
        <v>176</v>
      </c>
      <c r="AE248" s="9">
        <f t="shared" si="50"/>
        <v>0</v>
      </c>
      <c r="AF248" s="9">
        <f t="shared" si="50"/>
        <v>0</v>
      </c>
      <c r="AG248" s="9">
        <f t="shared" si="50"/>
        <v>0</v>
      </c>
      <c r="AH248" s="9">
        <f t="shared" si="50"/>
        <v>0</v>
      </c>
      <c r="AI248" s="9">
        <f t="shared" si="50"/>
        <v>0</v>
      </c>
      <c r="AJ248" s="9">
        <f t="shared" si="50"/>
        <v>0</v>
      </c>
      <c r="AK248" s="9">
        <f t="shared" si="50"/>
        <v>0</v>
      </c>
      <c r="AL248" s="9">
        <f t="shared" si="47"/>
        <v>0</v>
      </c>
      <c r="AM248" s="10" t="str">
        <f t="shared" si="44"/>
        <v>84</v>
      </c>
      <c r="AO248" s="2" t="s">
        <v>10</v>
      </c>
      <c r="AT248" s="11">
        <f t="shared" si="45"/>
        <v>247</v>
      </c>
      <c r="AU248" s="12" t="str">
        <f t="shared" si="46"/>
        <v/>
      </c>
    </row>
    <row r="249" spans="15:47" ht="18" customHeight="1">
      <c r="O249" s="2" t="str">
        <f t="shared" si="49"/>
        <v>サブルーチン群（効果音出力他）</v>
      </c>
      <c r="X249" s="7" t="str">
        <f t="shared" si="39"/>
        <v>C4B8</v>
      </c>
      <c r="Y249" s="19"/>
      <c r="Z249" s="9" t="str">
        <f t="shared" si="40"/>
        <v>:00</v>
      </c>
      <c r="AB249" s="6">
        <f t="shared" si="41"/>
        <v>8</v>
      </c>
      <c r="AC249" s="6">
        <f t="shared" si="42"/>
        <v>196</v>
      </c>
      <c r="AD249" s="6">
        <f t="shared" si="43"/>
        <v>184</v>
      </c>
      <c r="AE249" s="9">
        <f t="shared" si="50"/>
        <v>0</v>
      </c>
      <c r="AF249" s="9">
        <f t="shared" si="50"/>
        <v>0</v>
      </c>
      <c r="AG249" s="9">
        <f t="shared" si="50"/>
        <v>0</v>
      </c>
      <c r="AH249" s="9">
        <f t="shared" si="50"/>
        <v>0</v>
      </c>
      <c r="AI249" s="9">
        <f t="shared" si="50"/>
        <v>0</v>
      </c>
      <c r="AJ249" s="9">
        <f t="shared" si="50"/>
        <v>0</v>
      </c>
      <c r="AK249" s="9">
        <f t="shared" si="50"/>
        <v>0</v>
      </c>
      <c r="AL249" s="9">
        <f t="shared" si="47"/>
        <v>0</v>
      </c>
      <c r="AM249" s="10" t="str">
        <f t="shared" si="44"/>
        <v>7C</v>
      </c>
      <c r="AO249" s="2" t="s">
        <v>10</v>
      </c>
      <c r="AT249" s="11">
        <f t="shared" si="45"/>
        <v>248</v>
      </c>
      <c r="AU249" s="12" t="str">
        <f t="shared" si="46"/>
        <v/>
      </c>
    </row>
    <row r="250" spans="15:47" ht="18" customHeight="1">
      <c r="O250" s="2" t="str">
        <f t="shared" si="49"/>
        <v>サブルーチン群（効果音出力他）</v>
      </c>
      <c r="X250" s="7" t="str">
        <f t="shared" si="39"/>
        <v>C4C0</v>
      </c>
      <c r="Y250" s="19"/>
      <c r="Z250" s="9" t="str">
        <f t="shared" si="40"/>
        <v>:00</v>
      </c>
      <c r="AB250" s="6">
        <f t="shared" si="41"/>
        <v>8</v>
      </c>
      <c r="AC250" s="6">
        <f t="shared" si="42"/>
        <v>196</v>
      </c>
      <c r="AD250" s="6">
        <f t="shared" si="43"/>
        <v>192</v>
      </c>
      <c r="AE250" s="9">
        <f t="shared" si="50"/>
        <v>0</v>
      </c>
      <c r="AF250" s="9">
        <f t="shared" si="50"/>
        <v>0</v>
      </c>
      <c r="AG250" s="9">
        <f t="shared" si="50"/>
        <v>0</v>
      </c>
      <c r="AH250" s="9">
        <f t="shared" si="50"/>
        <v>0</v>
      </c>
      <c r="AI250" s="9">
        <f t="shared" si="50"/>
        <v>0</v>
      </c>
      <c r="AJ250" s="9">
        <f t="shared" si="50"/>
        <v>0</v>
      </c>
      <c r="AK250" s="9">
        <f t="shared" si="50"/>
        <v>0</v>
      </c>
      <c r="AL250" s="9">
        <f t="shared" si="47"/>
        <v>0</v>
      </c>
      <c r="AM250" s="10" t="str">
        <f t="shared" si="44"/>
        <v>74</v>
      </c>
      <c r="AO250" s="2" t="s">
        <v>10</v>
      </c>
      <c r="AT250" s="11">
        <f t="shared" si="45"/>
        <v>249</v>
      </c>
      <c r="AU250" s="12" t="str">
        <f t="shared" si="46"/>
        <v/>
      </c>
    </row>
    <row r="251" spans="15:47" ht="18" customHeight="1">
      <c r="O251" s="2" t="str">
        <f t="shared" si="49"/>
        <v>サブルーチン群（効果音出力他）</v>
      </c>
      <c r="X251" s="7" t="str">
        <f t="shared" si="39"/>
        <v>C4C8</v>
      </c>
      <c r="Y251" s="19"/>
      <c r="Z251" s="9" t="str">
        <f t="shared" si="40"/>
        <v>:00</v>
      </c>
      <c r="AB251" s="6">
        <f t="shared" si="41"/>
        <v>8</v>
      </c>
      <c r="AC251" s="6">
        <f t="shared" si="42"/>
        <v>196</v>
      </c>
      <c r="AD251" s="6">
        <f t="shared" si="43"/>
        <v>200</v>
      </c>
      <c r="AE251" s="9">
        <f t="shared" si="50"/>
        <v>0</v>
      </c>
      <c r="AF251" s="9">
        <f t="shared" si="50"/>
        <v>0</v>
      </c>
      <c r="AG251" s="9">
        <f t="shared" si="50"/>
        <v>0</v>
      </c>
      <c r="AH251" s="9">
        <f t="shared" si="50"/>
        <v>0</v>
      </c>
      <c r="AI251" s="9">
        <f t="shared" si="50"/>
        <v>0</v>
      </c>
      <c r="AJ251" s="9">
        <f t="shared" si="50"/>
        <v>0</v>
      </c>
      <c r="AK251" s="9">
        <f t="shared" si="50"/>
        <v>0</v>
      </c>
      <c r="AL251" s="9">
        <f t="shared" si="47"/>
        <v>0</v>
      </c>
      <c r="AM251" s="10" t="str">
        <f t="shared" si="44"/>
        <v>6C</v>
      </c>
      <c r="AO251" s="2" t="s">
        <v>10</v>
      </c>
      <c r="AT251" s="11">
        <f t="shared" si="45"/>
        <v>250</v>
      </c>
      <c r="AU251" s="12" t="str">
        <f t="shared" si="46"/>
        <v/>
      </c>
    </row>
    <row r="252" spans="15:47" ht="18" customHeight="1">
      <c r="O252" s="2" t="str">
        <f t="shared" si="49"/>
        <v>サブルーチン群（効果音出力他）</v>
      </c>
      <c r="X252" s="7" t="str">
        <f t="shared" si="39"/>
        <v>C4D0</v>
      </c>
      <c r="Y252" s="19"/>
      <c r="Z252" s="9" t="str">
        <f t="shared" si="40"/>
        <v>:00</v>
      </c>
      <c r="AB252" s="6">
        <f t="shared" si="41"/>
        <v>8</v>
      </c>
      <c r="AC252" s="6">
        <f t="shared" si="42"/>
        <v>196</v>
      </c>
      <c r="AD252" s="6">
        <f t="shared" si="43"/>
        <v>208</v>
      </c>
      <c r="AE252" s="9">
        <f t="shared" si="50"/>
        <v>0</v>
      </c>
      <c r="AF252" s="9">
        <f t="shared" si="50"/>
        <v>0</v>
      </c>
      <c r="AG252" s="9">
        <f t="shared" si="50"/>
        <v>0</v>
      </c>
      <c r="AH252" s="9">
        <f t="shared" si="50"/>
        <v>0</v>
      </c>
      <c r="AI252" s="9">
        <f t="shared" si="50"/>
        <v>0</v>
      </c>
      <c r="AJ252" s="9">
        <f t="shared" si="50"/>
        <v>0</v>
      </c>
      <c r="AK252" s="9">
        <f t="shared" si="50"/>
        <v>0</v>
      </c>
      <c r="AL252" s="9">
        <f t="shared" si="47"/>
        <v>0</v>
      </c>
      <c r="AM252" s="10" t="str">
        <f t="shared" si="44"/>
        <v>64</v>
      </c>
      <c r="AO252" s="2" t="s">
        <v>10</v>
      </c>
      <c r="AT252" s="11">
        <f t="shared" si="45"/>
        <v>251</v>
      </c>
      <c r="AU252" s="12" t="str">
        <f t="shared" si="46"/>
        <v/>
      </c>
    </row>
    <row r="253" spans="15:47" ht="18" customHeight="1">
      <c r="O253" s="2" t="str">
        <f t="shared" ref="O253:O265" si="51">$A$14</f>
        <v>空き領域</v>
      </c>
      <c r="X253" s="7" t="str">
        <f t="shared" si="39"/>
        <v>C4D8</v>
      </c>
      <c r="Y253" s="19"/>
      <c r="Z253" s="9" t="str">
        <f t="shared" si="40"/>
        <v>:00</v>
      </c>
      <c r="AB253" s="6">
        <f t="shared" si="41"/>
        <v>8</v>
      </c>
      <c r="AC253" s="6">
        <f t="shared" si="42"/>
        <v>196</v>
      </c>
      <c r="AD253" s="6">
        <f t="shared" si="43"/>
        <v>216</v>
      </c>
      <c r="AE253" s="9">
        <f t="shared" si="50"/>
        <v>0</v>
      </c>
      <c r="AF253" s="9">
        <f t="shared" si="50"/>
        <v>0</v>
      </c>
      <c r="AG253" s="9">
        <f t="shared" si="50"/>
        <v>0</v>
      </c>
      <c r="AH253" s="9">
        <f t="shared" si="50"/>
        <v>0</v>
      </c>
      <c r="AI253" s="9">
        <f t="shared" si="50"/>
        <v>0</v>
      </c>
      <c r="AJ253" s="9">
        <f t="shared" si="50"/>
        <v>0</v>
      </c>
      <c r="AK253" s="9">
        <f t="shared" si="50"/>
        <v>0</v>
      </c>
      <c r="AL253" s="9">
        <f t="shared" si="47"/>
        <v>0</v>
      </c>
      <c r="AM253" s="10" t="str">
        <f t="shared" si="44"/>
        <v>5C</v>
      </c>
      <c r="AO253" s="2" t="s">
        <v>10</v>
      </c>
      <c r="AT253" s="11">
        <f t="shared" si="45"/>
        <v>252</v>
      </c>
      <c r="AU253" s="12" t="str">
        <f t="shared" si="46"/>
        <v/>
      </c>
    </row>
    <row r="254" spans="15:47" ht="18" customHeight="1">
      <c r="O254" s="2" t="str">
        <f t="shared" si="51"/>
        <v>空き領域</v>
      </c>
      <c r="X254" s="7" t="str">
        <f t="shared" si="39"/>
        <v>C4E0</v>
      </c>
      <c r="Y254" s="19"/>
      <c r="Z254" s="9" t="str">
        <f t="shared" si="40"/>
        <v>:00</v>
      </c>
      <c r="AB254" s="6">
        <f t="shared" si="41"/>
        <v>8</v>
      </c>
      <c r="AC254" s="6">
        <f t="shared" si="42"/>
        <v>196</v>
      </c>
      <c r="AD254" s="6">
        <f t="shared" si="43"/>
        <v>224</v>
      </c>
      <c r="AE254" s="9">
        <f t="shared" si="50"/>
        <v>0</v>
      </c>
      <c r="AF254" s="9">
        <f t="shared" si="50"/>
        <v>0</v>
      </c>
      <c r="AG254" s="9">
        <f t="shared" si="50"/>
        <v>0</v>
      </c>
      <c r="AH254" s="9">
        <f t="shared" si="50"/>
        <v>0</v>
      </c>
      <c r="AI254" s="9">
        <f t="shared" si="50"/>
        <v>0</v>
      </c>
      <c r="AJ254" s="9">
        <f t="shared" si="50"/>
        <v>0</v>
      </c>
      <c r="AK254" s="9">
        <f t="shared" si="50"/>
        <v>0</v>
      </c>
      <c r="AL254" s="9">
        <f t="shared" si="47"/>
        <v>0</v>
      </c>
      <c r="AM254" s="10" t="str">
        <f t="shared" si="44"/>
        <v>54</v>
      </c>
      <c r="AO254" s="2" t="s">
        <v>10</v>
      </c>
      <c r="AT254" s="11">
        <f t="shared" si="45"/>
        <v>253</v>
      </c>
      <c r="AU254" s="12" t="str">
        <f t="shared" si="46"/>
        <v/>
      </c>
    </row>
    <row r="255" spans="15:47" ht="18" customHeight="1">
      <c r="O255" s="2" t="str">
        <f t="shared" si="51"/>
        <v>空き領域</v>
      </c>
      <c r="X255" s="7" t="str">
        <f t="shared" si="39"/>
        <v>C4E8</v>
      </c>
      <c r="Y255" s="19"/>
      <c r="Z255" s="9" t="str">
        <f t="shared" si="40"/>
        <v>:00</v>
      </c>
      <c r="AB255" s="6">
        <f t="shared" si="41"/>
        <v>8</v>
      </c>
      <c r="AC255" s="6">
        <f t="shared" si="42"/>
        <v>196</v>
      </c>
      <c r="AD255" s="6">
        <f t="shared" si="43"/>
        <v>232</v>
      </c>
      <c r="AE255" s="9">
        <f t="shared" si="50"/>
        <v>0</v>
      </c>
      <c r="AF255" s="9">
        <f t="shared" si="50"/>
        <v>0</v>
      </c>
      <c r="AG255" s="9">
        <f t="shared" si="50"/>
        <v>0</v>
      </c>
      <c r="AH255" s="9">
        <f t="shared" si="50"/>
        <v>0</v>
      </c>
      <c r="AI255" s="9">
        <f t="shared" si="50"/>
        <v>0</v>
      </c>
      <c r="AJ255" s="9">
        <f t="shared" si="50"/>
        <v>0</v>
      </c>
      <c r="AK255" s="9">
        <f t="shared" si="50"/>
        <v>0</v>
      </c>
      <c r="AL255" s="9">
        <f t="shared" si="47"/>
        <v>0</v>
      </c>
      <c r="AM255" s="10" t="str">
        <f t="shared" si="44"/>
        <v>4C</v>
      </c>
      <c r="AO255" s="2" t="s">
        <v>10</v>
      </c>
      <c r="AT255" s="11">
        <f t="shared" si="45"/>
        <v>254</v>
      </c>
      <c r="AU255" s="12" t="str">
        <f t="shared" si="46"/>
        <v/>
      </c>
    </row>
    <row r="256" spans="15:47" ht="18" customHeight="1">
      <c r="O256" s="2" t="str">
        <f t="shared" si="51"/>
        <v>空き領域</v>
      </c>
      <c r="X256" s="7" t="str">
        <f t="shared" si="39"/>
        <v>C4F0</v>
      </c>
      <c r="Y256" s="19"/>
      <c r="Z256" s="9" t="str">
        <f t="shared" si="40"/>
        <v>:00</v>
      </c>
      <c r="AB256" s="6">
        <f t="shared" si="41"/>
        <v>8</v>
      </c>
      <c r="AC256" s="6">
        <f t="shared" si="42"/>
        <v>196</v>
      </c>
      <c r="AD256" s="6">
        <f t="shared" si="43"/>
        <v>240</v>
      </c>
      <c r="AE256" s="9">
        <f t="shared" si="50"/>
        <v>0</v>
      </c>
      <c r="AF256" s="9">
        <f t="shared" si="50"/>
        <v>0</v>
      </c>
      <c r="AG256" s="9">
        <f t="shared" si="50"/>
        <v>0</v>
      </c>
      <c r="AH256" s="9">
        <f t="shared" si="50"/>
        <v>0</v>
      </c>
      <c r="AI256" s="9">
        <f t="shared" si="50"/>
        <v>0</v>
      </c>
      <c r="AJ256" s="9">
        <f t="shared" si="50"/>
        <v>0</v>
      </c>
      <c r="AK256" s="9">
        <f t="shared" si="50"/>
        <v>0</v>
      </c>
      <c r="AL256" s="9">
        <f t="shared" si="47"/>
        <v>0</v>
      </c>
      <c r="AM256" s="10" t="str">
        <f t="shared" si="44"/>
        <v>44</v>
      </c>
      <c r="AO256" s="2" t="s">
        <v>10</v>
      </c>
      <c r="AT256" s="11">
        <f t="shared" si="45"/>
        <v>255</v>
      </c>
      <c r="AU256" s="12" t="str">
        <f t="shared" si="46"/>
        <v/>
      </c>
    </row>
    <row r="257" spans="15:47" ht="18" customHeight="1">
      <c r="O257" s="2" t="str">
        <f t="shared" si="51"/>
        <v>空き領域</v>
      </c>
      <c r="X257" s="7" t="str">
        <f t="shared" si="39"/>
        <v>C4F8</v>
      </c>
      <c r="Y257" s="19"/>
      <c r="Z257" s="9" t="str">
        <f t="shared" si="40"/>
        <v>:00</v>
      </c>
      <c r="AB257" s="6">
        <f t="shared" si="41"/>
        <v>8</v>
      </c>
      <c r="AC257" s="6">
        <f t="shared" si="42"/>
        <v>196</v>
      </c>
      <c r="AD257" s="6">
        <f t="shared" si="43"/>
        <v>248</v>
      </c>
      <c r="AE257" s="9">
        <f t="shared" si="50"/>
        <v>0</v>
      </c>
      <c r="AF257" s="9">
        <f t="shared" si="50"/>
        <v>0</v>
      </c>
      <c r="AG257" s="9">
        <f t="shared" si="50"/>
        <v>0</v>
      </c>
      <c r="AH257" s="9">
        <f t="shared" si="50"/>
        <v>0</v>
      </c>
      <c r="AI257" s="9">
        <f t="shared" si="50"/>
        <v>0</v>
      </c>
      <c r="AJ257" s="9">
        <f t="shared" si="50"/>
        <v>0</v>
      </c>
      <c r="AK257" s="9">
        <f t="shared" si="50"/>
        <v>0</v>
      </c>
      <c r="AL257" s="9">
        <f t="shared" si="47"/>
        <v>0</v>
      </c>
      <c r="AM257" s="10" t="str">
        <f t="shared" si="44"/>
        <v>3C</v>
      </c>
      <c r="AO257" s="2" t="s">
        <v>10</v>
      </c>
      <c r="AT257" s="11">
        <f t="shared" si="45"/>
        <v>256</v>
      </c>
      <c r="AU257" s="12" t="str">
        <f t="shared" si="46"/>
        <v/>
      </c>
    </row>
    <row r="258" spans="15:47" ht="18" customHeight="1">
      <c r="O258" s="2" t="str">
        <f t="shared" si="51"/>
        <v>空き領域</v>
      </c>
      <c r="X258" s="7" t="str">
        <f t="shared" si="39"/>
        <v>C500</v>
      </c>
      <c r="Y258" s="19"/>
      <c r="Z258" s="9" t="str">
        <f t="shared" si="40"/>
        <v>:00</v>
      </c>
      <c r="AB258" s="6">
        <f t="shared" si="41"/>
        <v>8</v>
      </c>
      <c r="AC258" s="6">
        <f t="shared" si="42"/>
        <v>197</v>
      </c>
      <c r="AD258" s="6">
        <f t="shared" si="43"/>
        <v>0</v>
      </c>
      <c r="AE258" s="9">
        <f t="shared" si="50"/>
        <v>0</v>
      </c>
      <c r="AF258" s="9">
        <f t="shared" si="50"/>
        <v>0</v>
      </c>
      <c r="AG258" s="9">
        <f t="shared" si="50"/>
        <v>0</v>
      </c>
      <c r="AH258" s="9">
        <f t="shared" si="50"/>
        <v>0</v>
      </c>
      <c r="AI258" s="9">
        <f t="shared" si="50"/>
        <v>0</v>
      </c>
      <c r="AJ258" s="9">
        <f t="shared" si="50"/>
        <v>0</v>
      </c>
      <c r="AK258" s="9">
        <f t="shared" si="50"/>
        <v>0</v>
      </c>
      <c r="AL258" s="9">
        <f t="shared" si="47"/>
        <v>0</v>
      </c>
      <c r="AM258" s="10" t="str">
        <f t="shared" si="44"/>
        <v>33</v>
      </c>
      <c r="AO258" s="2" t="s">
        <v>10</v>
      </c>
      <c r="AT258" s="11">
        <f t="shared" si="45"/>
        <v>257</v>
      </c>
      <c r="AU258" s="12" t="str">
        <f t="shared" si="46"/>
        <v/>
      </c>
    </row>
    <row r="259" spans="15:47" ht="18" customHeight="1">
      <c r="O259" s="2" t="str">
        <f t="shared" si="51"/>
        <v>空き領域</v>
      </c>
      <c r="X259" s="7" t="str">
        <f t="shared" ref="X259:X283" si="52">DEC2HEX(AC259,2)&amp;DEC2HEX(AD259,2)</f>
        <v>C508</v>
      </c>
      <c r="Y259" s="19"/>
      <c r="Z259" s="9" t="str">
        <f t="shared" ref="Z259:Z283" si="53">":" &amp; RIGHT(DEC2HEX(SUM(AE259:AL259),3),2)</f>
        <v>:00</v>
      </c>
      <c r="AB259" s="6">
        <f t="shared" ref="AB259:AB283" si="54">$E$2</f>
        <v>8</v>
      </c>
      <c r="AC259" s="6">
        <f t="shared" ref="AC259:AC283" si="55">HEX2DEC(LEFT(DEC2HEX(HEX2DEC($E$3)+(ROW($AC259)-ROW($AC$2))*$E$2,4),2))</f>
        <v>197</v>
      </c>
      <c r="AD259" s="6">
        <f t="shared" ref="AD259:AD283" si="56">HEX2DEC(MID(DEC2HEX(HEX2DEC($E$3)+(ROW($AD259)-ROW($AD$2))*$E$2,4),3,2))</f>
        <v>8</v>
      </c>
      <c r="AE259" s="9">
        <f t="shared" si="50"/>
        <v>0</v>
      </c>
      <c r="AF259" s="9">
        <f t="shared" si="50"/>
        <v>0</v>
      </c>
      <c r="AG259" s="9">
        <f t="shared" si="50"/>
        <v>0</v>
      </c>
      <c r="AH259" s="9">
        <f t="shared" si="50"/>
        <v>0</v>
      </c>
      <c r="AI259" s="9">
        <f t="shared" si="50"/>
        <v>0</v>
      </c>
      <c r="AJ259" s="9">
        <f t="shared" si="50"/>
        <v>0</v>
      </c>
      <c r="AK259" s="9">
        <f t="shared" si="50"/>
        <v>0</v>
      </c>
      <c r="AL259" s="9">
        <f t="shared" si="47"/>
        <v>0</v>
      </c>
      <c r="AM259" s="10" t="str">
        <f t="shared" ref="AM259:AM283" si="57">RIGHT(DEC2HEX(256-MOD(SUM(AB259:AL259),256),3),2)</f>
        <v>2B</v>
      </c>
      <c r="AO259" s="2" t="s">
        <v>10</v>
      </c>
      <c r="AT259" s="11">
        <f t="shared" ref="AT259:AT283" si="58">AT258+1</f>
        <v>258</v>
      </c>
      <c r="AU259" s="12" t="str">
        <f t="shared" ref="AU259:AU283" si="59">IF(TRIM(Y259)="","",":"&amp;DEC2HEX(AB259,2)&amp;DEC2HEX(AC259,2)&amp;DEC2HEX(AD259,2)&amp;"00"&amp;DEC2HEX(AE259,2)&amp;DEC2HEX(AF259,2)&amp;DEC2HEX(AG259,2)&amp;DEC2HEX(AH259,2)&amp;DEC2HEX(AI259,2)&amp;DEC2HEX(AJ259,2)&amp;DEC2HEX(AK259,2)&amp;DEC2HEX(AL259,2)&amp;AM259)</f>
        <v/>
      </c>
    </row>
    <row r="260" spans="15:47" ht="18" customHeight="1">
      <c r="O260" s="2" t="str">
        <f t="shared" si="51"/>
        <v>空き領域</v>
      </c>
      <c r="X260" s="7" t="str">
        <f t="shared" si="52"/>
        <v>C510</v>
      </c>
      <c r="Y260" s="19"/>
      <c r="Z260" s="9" t="str">
        <f t="shared" si="53"/>
        <v>:00</v>
      </c>
      <c r="AB260" s="6">
        <f t="shared" si="54"/>
        <v>8</v>
      </c>
      <c r="AC260" s="6">
        <f t="shared" si="55"/>
        <v>197</v>
      </c>
      <c r="AD260" s="6">
        <f t="shared" si="56"/>
        <v>16</v>
      </c>
      <c r="AE260" s="9">
        <f t="shared" si="50"/>
        <v>0</v>
      </c>
      <c r="AF260" s="9">
        <f t="shared" si="50"/>
        <v>0</v>
      </c>
      <c r="AG260" s="9">
        <f t="shared" si="50"/>
        <v>0</v>
      </c>
      <c r="AH260" s="9">
        <f t="shared" si="50"/>
        <v>0</v>
      </c>
      <c r="AI260" s="9">
        <f t="shared" si="50"/>
        <v>0</v>
      </c>
      <c r="AJ260" s="9">
        <f t="shared" si="50"/>
        <v>0</v>
      </c>
      <c r="AK260" s="9">
        <f t="shared" si="50"/>
        <v>0</v>
      </c>
      <c r="AL260" s="9">
        <f t="shared" si="47"/>
        <v>0</v>
      </c>
      <c r="AM260" s="10" t="str">
        <f t="shared" si="57"/>
        <v>23</v>
      </c>
      <c r="AO260" s="2" t="s">
        <v>10</v>
      </c>
      <c r="AT260" s="11">
        <f t="shared" si="58"/>
        <v>259</v>
      </c>
      <c r="AU260" s="12" t="str">
        <f t="shared" si="59"/>
        <v/>
      </c>
    </row>
    <row r="261" spans="15:47" ht="18" customHeight="1">
      <c r="O261" s="2" t="str">
        <f t="shared" si="51"/>
        <v>空き領域</v>
      </c>
      <c r="X261" s="7" t="str">
        <f t="shared" si="52"/>
        <v>C518</v>
      </c>
      <c r="Y261" s="19"/>
      <c r="Z261" s="9" t="str">
        <f t="shared" si="53"/>
        <v>:00</v>
      </c>
      <c r="AB261" s="6">
        <f t="shared" si="54"/>
        <v>8</v>
      </c>
      <c r="AC261" s="6">
        <f t="shared" si="55"/>
        <v>197</v>
      </c>
      <c r="AD261" s="6">
        <f t="shared" si="56"/>
        <v>24</v>
      </c>
      <c r="AE261" s="9">
        <f t="shared" si="50"/>
        <v>0</v>
      </c>
      <c r="AF261" s="9">
        <f t="shared" si="50"/>
        <v>0</v>
      </c>
      <c r="AG261" s="9">
        <f t="shared" si="50"/>
        <v>0</v>
      </c>
      <c r="AH261" s="9">
        <f t="shared" si="50"/>
        <v>0</v>
      </c>
      <c r="AI261" s="9">
        <f t="shared" si="50"/>
        <v>0</v>
      </c>
      <c r="AJ261" s="9">
        <f t="shared" si="50"/>
        <v>0</v>
      </c>
      <c r="AK261" s="9">
        <f t="shared" si="50"/>
        <v>0</v>
      </c>
      <c r="AL261" s="9">
        <f t="shared" si="47"/>
        <v>0</v>
      </c>
      <c r="AM261" s="10" t="str">
        <f t="shared" si="57"/>
        <v>1B</v>
      </c>
      <c r="AO261" s="2" t="s">
        <v>10</v>
      </c>
      <c r="AT261" s="11">
        <f t="shared" si="58"/>
        <v>260</v>
      </c>
      <c r="AU261" s="12" t="str">
        <f t="shared" si="59"/>
        <v/>
      </c>
    </row>
    <row r="262" spans="15:47" ht="18" customHeight="1">
      <c r="O262" s="2" t="str">
        <f t="shared" si="51"/>
        <v>空き領域</v>
      </c>
      <c r="X262" s="7" t="str">
        <f t="shared" si="52"/>
        <v>C520</v>
      </c>
      <c r="Y262" s="19"/>
      <c r="Z262" s="9" t="str">
        <f t="shared" si="53"/>
        <v>:00</v>
      </c>
      <c r="AB262" s="6">
        <f t="shared" si="54"/>
        <v>8</v>
      </c>
      <c r="AC262" s="6">
        <f t="shared" si="55"/>
        <v>197</v>
      </c>
      <c r="AD262" s="6">
        <f t="shared" si="56"/>
        <v>32</v>
      </c>
      <c r="AE262" s="9">
        <f t="shared" si="50"/>
        <v>0</v>
      </c>
      <c r="AF262" s="9">
        <f t="shared" si="50"/>
        <v>0</v>
      </c>
      <c r="AG262" s="9">
        <f t="shared" si="50"/>
        <v>0</v>
      </c>
      <c r="AH262" s="9">
        <f t="shared" si="50"/>
        <v>0</v>
      </c>
      <c r="AI262" s="9">
        <f t="shared" si="50"/>
        <v>0</v>
      </c>
      <c r="AJ262" s="9">
        <f t="shared" si="50"/>
        <v>0</v>
      </c>
      <c r="AK262" s="9">
        <f t="shared" si="50"/>
        <v>0</v>
      </c>
      <c r="AL262" s="9">
        <f t="shared" si="47"/>
        <v>0</v>
      </c>
      <c r="AM262" s="10" t="str">
        <f t="shared" si="57"/>
        <v>13</v>
      </c>
      <c r="AO262" s="2" t="s">
        <v>10</v>
      </c>
      <c r="AT262" s="11">
        <f t="shared" si="58"/>
        <v>261</v>
      </c>
      <c r="AU262" s="12" t="str">
        <f t="shared" si="59"/>
        <v/>
      </c>
    </row>
    <row r="263" spans="15:47" ht="18" customHeight="1">
      <c r="O263" s="2" t="str">
        <f t="shared" si="51"/>
        <v>空き領域</v>
      </c>
      <c r="X263" s="7" t="str">
        <f t="shared" si="52"/>
        <v>C528</v>
      </c>
      <c r="Y263" s="19"/>
      <c r="Z263" s="9" t="str">
        <f t="shared" si="53"/>
        <v>:00</v>
      </c>
      <c r="AB263" s="6">
        <f t="shared" si="54"/>
        <v>8</v>
      </c>
      <c r="AC263" s="6">
        <f t="shared" si="55"/>
        <v>197</v>
      </c>
      <c r="AD263" s="6">
        <f t="shared" si="56"/>
        <v>40</v>
      </c>
      <c r="AE263" s="9">
        <f t="shared" si="50"/>
        <v>0</v>
      </c>
      <c r="AF263" s="9">
        <f t="shared" si="50"/>
        <v>0</v>
      </c>
      <c r="AG263" s="9">
        <f t="shared" si="50"/>
        <v>0</v>
      </c>
      <c r="AH263" s="9">
        <f t="shared" si="50"/>
        <v>0</v>
      </c>
      <c r="AI263" s="9">
        <f t="shared" si="50"/>
        <v>0</v>
      </c>
      <c r="AJ263" s="9">
        <f t="shared" si="50"/>
        <v>0</v>
      </c>
      <c r="AK263" s="9">
        <f t="shared" si="50"/>
        <v>0</v>
      </c>
      <c r="AL263" s="9">
        <f t="shared" si="50"/>
        <v>0</v>
      </c>
      <c r="AM263" s="10" t="str">
        <f t="shared" si="57"/>
        <v>0B</v>
      </c>
      <c r="AO263" s="2" t="s">
        <v>10</v>
      </c>
      <c r="AT263" s="11">
        <f t="shared" si="58"/>
        <v>262</v>
      </c>
      <c r="AU263" s="12" t="str">
        <f t="shared" si="59"/>
        <v/>
      </c>
    </row>
    <row r="264" spans="15:47" ht="18" customHeight="1">
      <c r="O264" s="2" t="str">
        <f t="shared" si="51"/>
        <v>空き領域</v>
      </c>
      <c r="X264" s="7" t="str">
        <f t="shared" si="52"/>
        <v>C530</v>
      </c>
      <c r="Y264" s="19"/>
      <c r="Z264" s="9" t="str">
        <f t="shared" si="53"/>
        <v>:00</v>
      </c>
      <c r="AB264" s="6">
        <f t="shared" si="54"/>
        <v>8</v>
      </c>
      <c r="AC264" s="6">
        <f t="shared" si="55"/>
        <v>197</v>
      </c>
      <c r="AD264" s="6">
        <f t="shared" si="56"/>
        <v>48</v>
      </c>
      <c r="AE264" s="9">
        <f t="shared" si="50"/>
        <v>0</v>
      </c>
      <c r="AF264" s="9">
        <f t="shared" si="50"/>
        <v>0</v>
      </c>
      <c r="AG264" s="9">
        <f t="shared" si="50"/>
        <v>0</v>
      </c>
      <c r="AH264" s="9">
        <f t="shared" si="50"/>
        <v>0</v>
      </c>
      <c r="AI264" s="9">
        <f t="shared" si="50"/>
        <v>0</v>
      </c>
      <c r="AJ264" s="9">
        <f t="shared" si="50"/>
        <v>0</v>
      </c>
      <c r="AK264" s="9">
        <f t="shared" si="50"/>
        <v>0</v>
      </c>
      <c r="AL264" s="9">
        <f t="shared" si="50"/>
        <v>0</v>
      </c>
      <c r="AM264" s="10" t="str">
        <f t="shared" si="57"/>
        <v>03</v>
      </c>
      <c r="AO264" s="2" t="s">
        <v>10</v>
      </c>
      <c r="AT264" s="11">
        <f t="shared" si="58"/>
        <v>263</v>
      </c>
      <c r="AU264" s="12" t="str">
        <f t="shared" si="59"/>
        <v/>
      </c>
    </row>
    <row r="265" spans="15:47" ht="18" customHeight="1">
      <c r="O265" s="2" t="str">
        <f t="shared" si="51"/>
        <v>空き領域</v>
      </c>
      <c r="X265" s="7" t="str">
        <f t="shared" si="52"/>
        <v>C538</v>
      </c>
      <c r="Y265" s="19"/>
      <c r="Z265" s="9" t="str">
        <f t="shared" si="53"/>
        <v>:00</v>
      </c>
      <c r="AB265" s="6">
        <f t="shared" si="54"/>
        <v>8</v>
      </c>
      <c r="AC265" s="6">
        <f t="shared" si="55"/>
        <v>197</v>
      </c>
      <c r="AD265" s="6">
        <f t="shared" si="56"/>
        <v>56</v>
      </c>
      <c r="AE265" s="9">
        <f t="shared" si="50"/>
        <v>0</v>
      </c>
      <c r="AF265" s="9">
        <f t="shared" si="50"/>
        <v>0</v>
      </c>
      <c r="AG265" s="9">
        <f t="shared" si="50"/>
        <v>0</v>
      </c>
      <c r="AH265" s="9">
        <f t="shared" si="50"/>
        <v>0</v>
      </c>
      <c r="AI265" s="9">
        <f t="shared" si="50"/>
        <v>0</v>
      </c>
      <c r="AJ265" s="9">
        <f t="shared" si="50"/>
        <v>0</v>
      </c>
      <c r="AK265" s="9">
        <f t="shared" si="50"/>
        <v>0</v>
      </c>
      <c r="AL265" s="9">
        <f t="shared" si="50"/>
        <v>0</v>
      </c>
      <c r="AM265" s="10" t="str">
        <f t="shared" si="57"/>
        <v>FB</v>
      </c>
      <c r="AO265" s="2" t="s">
        <v>10</v>
      </c>
      <c r="AT265" s="11">
        <f t="shared" si="58"/>
        <v>264</v>
      </c>
      <c r="AU265" s="12" t="str">
        <f t="shared" si="59"/>
        <v/>
      </c>
    </row>
    <row r="266" spans="15:47" ht="18" customHeight="1">
      <c r="O266" s="2" t="str">
        <f t="shared" ref="O266:O283" si="60">$A$15</f>
        <v>曲データ＆デモ用サブルーチン</v>
      </c>
      <c r="X266" s="7" t="str">
        <f t="shared" si="52"/>
        <v>C540</v>
      </c>
      <c r="Y266" s="19"/>
      <c r="Z266" s="9" t="str">
        <f t="shared" si="53"/>
        <v>:00</v>
      </c>
      <c r="AB266" s="6">
        <f t="shared" si="54"/>
        <v>8</v>
      </c>
      <c r="AC266" s="6">
        <f t="shared" si="55"/>
        <v>197</v>
      </c>
      <c r="AD266" s="6">
        <f t="shared" si="56"/>
        <v>64</v>
      </c>
      <c r="AE266" s="9">
        <f t="shared" si="50"/>
        <v>0</v>
      </c>
      <c r="AF266" s="9">
        <f t="shared" si="50"/>
        <v>0</v>
      </c>
      <c r="AG266" s="9">
        <f t="shared" si="50"/>
        <v>0</v>
      </c>
      <c r="AH266" s="9">
        <f t="shared" si="50"/>
        <v>0</v>
      </c>
      <c r="AI266" s="9">
        <f t="shared" si="50"/>
        <v>0</v>
      </c>
      <c r="AJ266" s="9">
        <f t="shared" si="50"/>
        <v>0</v>
      </c>
      <c r="AK266" s="9">
        <f t="shared" si="50"/>
        <v>0</v>
      </c>
      <c r="AL266" s="9">
        <f t="shared" si="50"/>
        <v>0</v>
      </c>
      <c r="AM266" s="10" t="str">
        <f t="shared" si="57"/>
        <v>F3</v>
      </c>
      <c r="AO266" s="2" t="s">
        <v>10</v>
      </c>
      <c r="AT266" s="11">
        <f t="shared" si="58"/>
        <v>265</v>
      </c>
      <c r="AU266" s="12" t="str">
        <f t="shared" si="59"/>
        <v/>
      </c>
    </row>
    <row r="267" spans="15:47" ht="18" customHeight="1">
      <c r="O267" s="2" t="str">
        <f t="shared" si="60"/>
        <v>曲データ＆デモ用サブルーチン</v>
      </c>
      <c r="X267" s="7" t="str">
        <f t="shared" si="52"/>
        <v>C548</v>
      </c>
      <c r="Y267" s="19"/>
      <c r="Z267" s="9" t="str">
        <f t="shared" si="53"/>
        <v>:00</v>
      </c>
      <c r="AB267" s="6">
        <f t="shared" si="54"/>
        <v>8</v>
      </c>
      <c r="AC267" s="6">
        <f t="shared" si="55"/>
        <v>197</v>
      </c>
      <c r="AD267" s="6">
        <f t="shared" si="56"/>
        <v>72</v>
      </c>
      <c r="AE267" s="9">
        <f t="shared" si="50"/>
        <v>0</v>
      </c>
      <c r="AF267" s="9">
        <f t="shared" si="50"/>
        <v>0</v>
      </c>
      <c r="AG267" s="9">
        <f t="shared" si="50"/>
        <v>0</v>
      </c>
      <c r="AH267" s="9">
        <f t="shared" si="50"/>
        <v>0</v>
      </c>
      <c r="AI267" s="9">
        <f t="shared" si="50"/>
        <v>0</v>
      </c>
      <c r="AJ267" s="9">
        <f t="shared" si="50"/>
        <v>0</v>
      </c>
      <c r="AK267" s="9">
        <f t="shared" si="50"/>
        <v>0</v>
      </c>
      <c r="AL267" s="9">
        <f t="shared" si="50"/>
        <v>0</v>
      </c>
      <c r="AM267" s="10" t="str">
        <f t="shared" si="57"/>
        <v>EB</v>
      </c>
      <c r="AO267" s="2" t="s">
        <v>10</v>
      </c>
      <c r="AT267" s="11">
        <f t="shared" si="58"/>
        <v>266</v>
      </c>
      <c r="AU267" s="12" t="str">
        <f t="shared" si="59"/>
        <v/>
      </c>
    </row>
    <row r="268" spans="15:47" ht="18" customHeight="1">
      <c r="O268" s="2" t="str">
        <f t="shared" si="60"/>
        <v>曲データ＆デモ用サブルーチン</v>
      </c>
      <c r="X268" s="7" t="str">
        <f t="shared" si="52"/>
        <v>C550</v>
      </c>
      <c r="Y268" s="19"/>
      <c r="Z268" s="9" t="str">
        <f t="shared" si="53"/>
        <v>:00</v>
      </c>
      <c r="AB268" s="6">
        <f t="shared" si="54"/>
        <v>8</v>
      </c>
      <c r="AC268" s="6">
        <f t="shared" si="55"/>
        <v>197</v>
      </c>
      <c r="AD268" s="6">
        <f t="shared" si="56"/>
        <v>80</v>
      </c>
      <c r="AE268" s="9">
        <f t="shared" si="50"/>
        <v>0</v>
      </c>
      <c r="AF268" s="9">
        <f t="shared" si="50"/>
        <v>0</v>
      </c>
      <c r="AG268" s="9">
        <f t="shared" si="50"/>
        <v>0</v>
      </c>
      <c r="AH268" s="9">
        <f t="shared" si="50"/>
        <v>0</v>
      </c>
      <c r="AI268" s="9">
        <f t="shared" si="50"/>
        <v>0</v>
      </c>
      <c r="AJ268" s="9">
        <f t="shared" si="50"/>
        <v>0</v>
      </c>
      <c r="AK268" s="9">
        <f t="shared" si="50"/>
        <v>0</v>
      </c>
      <c r="AL268" s="9">
        <f t="shared" si="50"/>
        <v>0</v>
      </c>
      <c r="AM268" s="10" t="str">
        <f t="shared" si="57"/>
        <v>E3</v>
      </c>
      <c r="AO268" s="2" t="s">
        <v>10</v>
      </c>
      <c r="AT268" s="11">
        <f t="shared" si="58"/>
        <v>267</v>
      </c>
      <c r="AU268" s="12" t="str">
        <f t="shared" si="59"/>
        <v/>
      </c>
    </row>
    <row r="269" spans="15:47" ht="18" customHeight="1">
      <c r="O269" s="2" t="str">
        <f t="shared" si="60"/>
        <v>曲データ＆デモ用サブルーチン</v>
      </c>
      <c r="X269" s="7" t="str">
        <f t="shared" si="52"/>
        <v>C558</v>
      </c>
      <c r="Y269" s="19"/>
      <c r="Z269" s="9" t="str">
        <f t="shared" si="53"/>
        <v>:00</v>
      </c>
      <c r="AB269" s="6">
        <f t="shared" si="54"/>
        <v>8</v>
      </c>
      <c r="AC269" s="6">
        <f t="shared" si="55"/>
        <v>197</v>
      </c>
      <c r="AD269" s="6">
        <f t="shared" si="56"/>
        <v>88</v>
      </c>
      <c r="AE269" s="9">
        <f t="shared" si="50"/>
        <v>0</v>
      </c>
      <c r="AF269" s="9">
        <f t="shared" si="50"/>
        <v>0</v>
      </c>
      <c r="AG269" s="9">
        <f t="shared" si="50"/>
        <v>0</v>
      </c>
      <c r="AH269" s="9">
        <f t="shared" si="50"/>
        <v>0</v>
      </c>
      <c r="AI269" s="9">
        <f t="shared" si="50"/>
        <v>0</v>
      </c>
      <c r="AJ269" s="9">
        <f t="shared" si="50"/>
        <v>0</v>
      </c>
      <c r="AK269" s="9">
        <f t="shared" si="50"/>
        <v>0</v>
      </c>
      <c r="AL269" s="9">
        <f t="shared" si="50"/>
        <v>0</v>
      </c>
      <c r="AM269" s="10" t="str">
        <f t="shared" si="57"/>
        <v>DB</v>
      </c>
      <c r="AO269" s="2" t="s">
        <v>10</v>
      </c>
      <c r="AT269" s="11">
        <f t="shared" si="58"/>
        <v>268</v>
      </c>
      <c r="AU269" s="12" t="str">
        <f t="shared" si="59"/>
        <v/>
      </c>
    </row>
    <row r="270" spans="15:47" ht="18" customHeight="1">
      <c r="O270" s="2" t="str">
        <f t="shared" si="60"/>
        <v>曲データ＆デモ用サブルーチン</v>
      </c>
      <c r="X270" s="7" t="str">
        <f t="shared" si="52"/>
        <v>C560</v>
      </c>
      <c r="Y270" s="19"/>
      <c r="Z270" s="9" t="str">
        <f t="shared" si="53"/>
        <v>:00</v>
      </c>
      <c r="AB270" s="6">
        <f t="shared" si="54"/>
        <v>8</v>
      </c>
      <c r="AC270" s="6">
        <f t="shared" si="55"/>
        <v>197</v>
      </c>
      <c r="AD270" s="6">
        <f t="shared" si="56"/>
        <v>96</v>
      </c>
      <c r="AE270" s="9">
        <f t="shared" si="50"/>
        <v>0</v>
      </c>
      <c r="AF270" s="9">
        <f t="shared" si="50"/>
        <v>0</v>
      </c>
      <c r="AG270" s="9">
        <f t="shared" si="50"/>
        <v>0</v>
      </c>
      <c r="AH270" s="9">
        <f t="shared" si="50"/>
        <v>0</v>
      </c>
      <c r="AI270" s="9">
        <f t="shared" si="50"/>
        <v>0</v>
      </c>
      <c r="AJ270" s="9">
        <f t="shared" si="50"/>
        <v>0</v>
      </c>
      <c r="AK270" s="9">
        <f t="shared" si="50"/>
        <v>0</v>
      </c>
      <c r="AL270" s="9">
        <f t="shared" si="50"/>
        <v>0</v>
      </c>
      <c r="AM270" s="10" t="str">
        <f t="shared" si="57"/>
        <v>D3</v>
      </c>
      <c r="AO270" s="2" t="s">
        <v>10</v>
      </c>
      <c r="AT270" s="11">
        <f t="shared" si="58"/>
        <v>269</v>
      </c>
      <c r="AU270" s="12" t="str">
        <f t="shared" si="59"/>
        <v/>
      </c>
    </row>
    <row r="271" spans="15:47" ht="18" customHeight="1">
      <c r="O271" s="2" t="str">
        <f t="shared" si="60"/>
        <v>曲データ＆デモ用サブルーチン</v>
      </c>
      <c r="X271" s="7" t="str">
        <f t="shared" si="52"/>
        <v>C568</v>
      </c>
      <c r="Y271" s="19"/>
      <c r="Z271" s="9" t="str">
        <f t="shared" si="53"/>
        <v>:00</v>
      </c>
      <c r="AB271" s="6">
        <f t="shared" si="54"/>
        <v>8</v>
      </c>
      <c r="AC271" s="6">
        <f t="shared" si="55"/>
        <v>197</v>
      </c>
      <c r="AD271" s="6">
        <f t="shared" si="56"/>
        <v>104</v>
      </c>
      <c r="AE271" s="9">
        <f t="shared" si="50"/>
        <v>0</v>
      </c>
      <c r="AF271" s="9">
        <f t="shared" si="50"/>
        <v>0</v>
      </c>
      <c r="AG271" s="9">
        <f t="shared" si="50"/>
        <v>0</v>
      </c>
      <c r="AH271" s="9">
        <f t="shared" si="50"/>
        <v>0</v>
      </c>
      <c r="AI271" s="9">
        <f t="shared" si="50"/>
        <v>0</v>
      </c>
      <c r="AJ271" s="9">
        <f t="shared" si="50"/>
        <v>0</v>
      </c>
      <c r="AK271" s="9">
        <f t="shared" si="50"/>
        <v>0</v>
      </c>
      <c r="AL271" s="9">
        <f t="shared" si="50"/>
        <v>0</v>
      </c>
      <c r="AM271" s="10" t="str">
        <f t="shared" si="57"/>
        <v>CB</v>
      </c>
      <c r="AO271" s="2" t="s">
        <v>10</v>
      </c>
      <c r="AT271" s="11">
        <f t="shared" si="58"/>
        <v>270</v>
      </c>
      <c r="AU271" s="12" t="str">
        <f t="shared" si="59"/>
        <v/>
      </c>
    </row>
    <row r="272" spans="15:47" ht="18" customHeight="1">
      <c r="O272" s="2" t="str">
        <f t="shared" si="60"/>
        <v>曲データ＆デモ用サブルーチン</v>
      </c>
      <c r="X272" s="7" t="str">
        <f t="shared" si="52"/>
        <v>C570</v>
      </c>
      <c r="Y272" s="19"/>
      <c r="Z272" s="9" t="str">
        <f t="shared" si="53"/>
        <v>:00</v>
      </c>
      <c r="AB272" s="6">
        <f t="shared" si="54"/>
        <v>8</v>
      </c>
      <c r="AC272" s="6">
        <f t="shared" si="55"/>
        <v>197</v>
      </c>
      <c r="AD272" s="6">
        <f t="shared" si="56"/>
        <v>112</v>
      </c>
      <c r="AE272" s="9">
        <f t="shared" si="50"/>
        <v>0</v>
      </c>
      <c r="AF272" s="9">
        <f t="shared" si="50"/>
        <v>0</v>
      </c>
      <c r="AG272" s="9">
        <f t="shared" si="50"/>
        <v>0</v>
      </c>
      <c r="AH272" s="9">
        <f t="shared" si="50"/>
        <v>0</v>
      </c>
      <c r="AI272" s="9">
        <f t="shared" si="50"/>
        <v>0</v>
      </c>
      <c r="AJ272" s="9">
        <f t="shared" si="50"/>
        <v>0</v>
      </c>
      <c r="AK272" s="9">
        <f t="shared" si="50"/>
        <v>0</v>
      </c>
      <c r="AL272" s="9">
        <f t="shared" si="50"/>
        <v>0</v>
      </c>
      <c r="AM272" s="10" t="str">
        <f t="shared" si="57"/>
        <v>C3</v>
      </c>
      <c r="AO272" s="2" t="s">
        <v>10</v>
      </c>
      <c r="AT272" s="11">
        <f t="shared" si="58"/>
        <v>271</v>
      </c>
      <c r="AU272" s="12" t="str">
        <f t="shared" si="59"/>
        <v/>
      </c>
    </row>
    <row r="273" spans="15:47" ht="18" customHeight="1">
      <c r="O273" s="2" t="str">
        <f t="shared" si="60"/>
        <v>曲データ＆デモ用サブルーチン</v>
      </c>
      <c r="X273" s="7" t="str">
        <f t="shared" si="52"/>
        <v>C578</v>
      </c>
      <c r="Y273" s="19"/>
      <c r="Z273" s="9" t="str">
        <f t="shared" si="53"/>
        <v>:00</v>
      </c>
      <c r="AB273" s="6">
        <f t="shared" si="54"/>
        <v>8</v>
      </c>
      <c r="AC273" s="6">
        <f t="shared" si="55"/>
        <v>197</v>
      </c>
      <c r="AD273" s="6">
        <f t="shared" si="56"/>
        <v>120</v>
      </c>
      <c r="AE273" s="9">
        <f t="shared" si="50"/>
        <v>0</v>
      </c>
      <c r="AF273" s="9">
        <f t="shared" si="50"/>
        <v>0</v>
      </c>
      <c r="AG273" s="9">
        <f t="shared" si="50"/>
        <v>0</v>
      </c>
      <c r="AH273" s="9">
        <f t="shared" si="50"/>
        <v>0</v>
      </c>
      <c r="AI273" s="9">
        <f t="shared" si="50"/>
        <v>0</v>
      </c>
      <c r="AJ273" s="9">
        <f t="shared" si="50"/>
        <v>0</v>
      </c>
      <c r="AK273" s="9">
        <f t="shared" si="50"/>
        <v>0</v>
      </c>
      <c r="AL273" s="9">
        <f t="shared" si="50"/>
        <v>0</v>
      </c>
      <c r="AM273" s="10" t="str">
        <f t="shared" si="57"/>
        <v>BB</v>
      </c>
      <c r="AO273" s="2" t="s">
        <v>10</v>
      </c>
      <c r="AT273" s="11">
        <f t="shared" si="58"/>
        <v>272</v>
      </c>
      <c r="AU273" s="12" t="str">
        <f t="shared" si="59"/>
        <v/>
      </c>
    </row>
    <row r="274" spans="15:47" ht="18" customHeight="1">
      <c r="O274" s="2" t="str">
        <f t="shared" si="60"/>
        <v>曲データ＆デモ用サブルーチン</v>
      </c>
      <c r="X274" s="7" t="str">
        <f t="shared" si="52"/>
        <v>C580</v>
      </c>
      <c r="Y274" s="19"/>
      <c r="Z274" s="9" t="str">
        <f t="shared" si="53"/>
        <v>:00</v>
      </c>
      <c r="AB274" s="6">
        <f t="shared" si="54"/>
        <v>8</v>
      </c>
      <c r="AC274" s="6">
        <f t="shared" si="55"/>
        <v>197</v>
      </c>
      <c r="AD274" s="6">
        <f t="shared" si="56"/>
        <v>128</v>
      </c>
      <c r="AE274" s="9">
        <f t="shared" si="50"/>
        <v>0</v>
      </c>
      <c r="AF274" s="9">
        <f t="shared" si="50"/>
        <v>0</v>
      </c>
      <c r="AG274" s="9">
        <f t="shared" si="50"/>
        <v>0</v>
      </c>
      <c r="AH274" s="9">
        <f t="shared" si="50"/>
        <v>0</v>
      </c>
      <c r="AI274" s="9">
        <f t="shared" si="50"/>
        <v>0</v>
      </c>
      <c r="AJ274" s="9">
        <f t="shared" si="50"/>
        <v>0</v>
      </c>
      <c r="AK274" s="9">
        <f t="shared" si="50"/>
        <v>0</v>
      </c>
      <c r="AL274" s="9">
        <f t="shared" si="50"/>
        <v>0</v>
      </c>
      <c r="AM274" s="10" t="str">
        <f t="shared" si="57"/>
        <v>B3</v>
      </c>
      <c r="AO274" s="2" t="s">
        <v>10</v>
      </c>
      <c r="AT274" s="11">
        <f t="shared" si="58"/>
        <v>273</v>
      </c>
      <c r="AU274" s="12" t="str">
        <f t="shared" si="59"/>
        <v/>
      </c>
    </row>
    <row r="275" spans="15:47" ht="18" customHeight="1">
      <c r="O275" s="2" t="str">
        <f t="shared" si="60"/>
        <v>曲データ＆デモ用サブルーチン</v>
      </c>
      <c r="X275" s="7" t="str">
        <f t="shared" si="52"/>
        <v>C588</v>
      </c>
      <c r="Y275" s="19"/>
      <c r="Z275" s="9" t="str">
        <f t="shared" si="53"/>
        <v>:00</v>
      </c>
      <c r="AB275" s="6">
        <f t="shared" si="54"/>
        <v>8</v>
      </c>
      <c r="AC275" s="6">
        <f t="shared" si="55"/>
        <v>197</v>
      </c>
      <c r="AD275" s="6">
        <f t="shared" si="56"/>
        <v>136</v>
      </c>
      <c r="AE275" s="9">
        <f t="shared" si="50"/>
        <v>0</v>
      </c>
      <c r="AF275" s="9">
        <f t="shared" si="50"/>
        <v>0</v>
      </c>
      <c r="AG275" s="9">
        <f t="shared" si="50"/>
        <v>0</v>
      </c>
      <c r="AH275" s="9">
        <f t="shared" si="50"/>
        <v>0</v>
      </c>
      <c r="AI275" s="9">
        <f t="shared" si="50"/>
        <v>0</v>
      </c>
      <c r="AJ275" s="9">
        <f t="shared" si="50"/>
        <v>0</v>
      </c>
      <c r="AK275" s="9">
        <f t="shared" si="50"/>
        <v>0</v>
      </c>
      <c r="AL275" s="9">
        <f t="shared" si="50"/>
        <v>0</v>
      </c>
      <c r="AM275" s="10" t="str">
        <f t="shared" si="57"/>
        <v>AB</v>
      </c>
      <c r="AO275" s="2" t="s">
        <v>10</v>
      </c>
      <c r="AT275" s="11">
        <f t="shared" si="58"/>
        <v>274</v>
      </c>
      <c r="AU275" s="12" t="str">
        <f t="shared" si="59"/>
        <v/>
      </c>
    </row>
    <row r="276" spans="15:47" ht="18" customHeight="1">
      <c r="O276" s="2" t="str">
        <f t="shared" si="60"/>
        <v>曲データ＆デモ用サブルーチン</v>
      </c>
      <c r="X276" s="7" t="str">
        <f t="shared" si="52"/>
        <v>C590</v>
      </c>
      <c r="Y276" s="19"/>
      <c r="Z276" s="9" t="str">
        <f t="shared" si="53"/>
        <v>:00</v>
      </c>
      <c r="AB276" s="6">
        <f t="shared" si="54"/>
        <v>8</v>
      </c>
      <c r="AC276" s="6">
        <f t="shared" si="55"/>
        <v>197</v>
      </c>
      <c r="AD276" s="6">
        <f t="shared" si="56"/>
        <v>144</v>
      </c>
      <c r="AE276" s="9">
        <f t="shared" si="50"/>
        <v>0</v>
      </c>
      <c r="AF276" s="9">
        <f t="shared" si="50"/>
        <v>0</v>
      </c>
      <c r="AG276" s="9">
        <f t="shared" si="50"/>
        <v>0</v>
      </c>
      <c r="AH276" s="9">
        <f t="shared" si="50"/>
        <v>0</v>
      </c>
      <c r="AI276" s="9">
        <f t="shared" si="50"/>
        <v>0</v>
      </c>
      <c r="AJ276" s="9">
        <f t="shared" si="50"/>
        <v>0</v>
      </c>
      <c r="AK276" s="9">
        <f t="shared" si="50"/>
        <v>0</v>
      </c>
      <c r="AL276" s="9">
        <f t="shared" si="50"/>
        <v>0</v>
      </c>
      <c r="AM276" s="10" t="str">
        <f t="shared" si="57"/>
        <v>A3</v>
      </c>
      <c r="AO276" s="2" t="s">
        <v>10</v>
      </c>
      <c r="AT276" s="11">
        <f t="shared" si="58"/>
        <v>275</v>
      </c>
      <c r="AU276" s="12" t="str">
        <f t="shared" si="59"/>
        <v/>
      </c>
    </row>
    <row r="277" spans="15:47" ht="18" customHeight="1">
      <c r="O277" s="2" t="str">
        <f t="shared" si="60"/>
        <v>曲データ＆デモ用サブルーチン</v>
      </c>
      <c r="X277" s="7" t="str">
        <f t="shared" si="52"/>
        <v>C598</v>
      </c>
      <c r="Y277" s="19"/>
      <c r="Z277" s="9" t="str">
        <f t="shared" si="53"/>
        <v>:00</v>
      </c>
      <c r="AB277" s="6">
        <f t="shared" si="54"/>
        <v>8</v>
      </c>
      <c r="AC277" s="6">
        <f t="shared" si="55"/>
        <v>197</v>
      </c>
      <c r="AD277" s="6">
        <f t="shared" si="56"/>
        <v>152</v>
      </c>
      <c r="AE277" s="9">
        <f t="shared" si="50"/>
        <v>0</v>
      </c>
      <c r="AF277" s="9">
        <f t="shared" si="50"/>
        <v>0</v>
      </c>
      <c r="AG277" s="9">
        <f t="shared" si="50"/>
        <v>0</v>
      </c>
      <c r="AH277" s="9">
        <f t="shared" si="50"/>
        <v>0</v>
      </c>
      <c r="AI277" s="9">
        <f t="shared" si="50"/>
        <v>0</v>
      </c>
      <c r="AJ277" s="9">
        <f t="shared" si="50"/>
        <v>0</v>
      </c>
      <c r="AK277" s="9">
        <f t="shared" si="50"/>
        <v>0</v>
      </c>
      <c r="AL277" s="9">
        <f t="shared" si="50"/>
        <v>0</v>
      </c>
      <c r="AM277" s="10" t="str">
        <f t="shared" si="57"/>
        <v>9B</v>
      </c>
      <c r="AO277" s="2" t="s">
        <v>10</v>
      </c>
      <c r="AT277" s="11">
        <f t="shared" si="58"/>
        <v>276</v>
      </c>
      <c r="AU277" s="12" t="str">
        <f t="shared" si="59"/>
        <v/>
      </c>
    </row>
    <row r="278" spans="15:47" ht="18" customHeight="1">
      <c r="O278" s="2" t="str">
        <f t="shared" si="60"/>
        <v>曲データ＆デモ用サブルーチン</v>
      </c>
      <c r="X278" s="7" t="str">
        <f t="shared" si="52"/>
        <v>C5A0</v>
      </c>
      <c r="Y278" s="19"/>
      <c r="Z278" s="9" t="str">
        <f t="shared" si="53"/>
        <v>:00</v>
      </c>
      <c r="AB278" s="6">
        <f t="shared" si="54"/>
        <v>8</v>
      </c>
      <c r="AC278" s="6">
        <f t="shared" si="55"/>
        <v>197</v>
      </c>
      <c r="AD278" s="6">
        <f t="shared" si="56"/>
        <v>160</v>
      </c>
      <c r="AE278" s="9">
        <f t="shared" ref="AE278:AL283" si="61">HEX2DEC(MID($Y278,(COLUMN(AE278) - COLUMN($AE278)) * 2 + 1,2))</f>
        <v>0</v>
      </c>
      <c r="AF278" s="9">
        <f t="shared" si="61"/>
        <v>0</v>
      </c>
      <c r="AG278" s="9">
        <f t="shared" si="61"/>
        <v>0</v>
      </c>
      <c r="AH278" s="9">
        <f t="shared" si="61"/>
        <v>0</v>
      </c>
      <c r="AI278" s="9">
        <f t="shared" si="61"/>
        <v>0</v>
      </c>
      <c r="AJ278" s="9">
        <f t="shared" si="61"/>
        <v>0</v>
      </c>
      <c r="AK278" s="9">
        <f t="shared" si="61"/>
        <v>0</v>
      </c>
      <c r="AL278" s="9">
        <f t="shared" si="61"/>
        <v>0</v>
      </c>
      <c r="AM278" s="10" t="str">
        <f t="shared" si="57"/>
        <v>93</v>
      </c>
      <c r="AO278" s="2" t="s">
        <v>10</v>
      </c>
      <c r="AT278" s="11">
        <f t="shared" si="58"/>
        <v>277</v>
      </c>
      <c r="AU278" s="12" t="str">
        <f t="shared" si="59"/>
        <v/>
      </c>
    </row>
    <row r="279" spans="15:47" ht="18" customHeight="1">
      <c r="O279" s="2" t="str">
        <f t="shared" si="60"/>
        <v>曲データ＆デモ用サブルーチン</v>
      </c>
      <c r="X279" s="7" t="str">
        <f t="shared" si="52"/>
        <v>C5A8</v>
      </c>
      <c r="Y279" s="19"/>
      <c r="Z279" s="9" t="str">
        <f t="shared" si="53"/>
        <v>:00</v>
      </c>
      <c r="AB279" s="6">
        <f t="shared" si="54"/>
        <v>8</v>
      </c>
      <c r="AC279" s="6">
        <f t="shared" si="55"/>
        <v>197</v>
      </c>
      <c r="AD279" s="6">
        <f t="shared" si="56"/>
        <v>168</v>
      </c>
      <c r="AE279" s="9">
        <f t="shared" si="61"/>
        <v>0</v>
      </c>
      <c r="AF279" s="9">
        <f t="shared" si="61"/>
        <v>0</v>
      </c>
      <c r="AG279" s="9">
        <f t="shared" si="61"/>
        <v>0</v>
      </c>
      <c r="AH279" s="9">
        <f t="shared" si="61"/>
        <v>0</v>
      </c>
      <c r="AI279" s="9">
        <f t="shared" si="61"/>
        <v>0</v>
      </c>
      <c r="AJ279" s="9">
        <f t="shared" si="61"/>
        <v>0</v>
      </c>
      <c r="AK279" s="9">
        <f t="shared" si="61"/>
        <v>0</v>
      </c>
      <c r="AL279" s="9">
        <f t="shared" si="61"/>
        <v>0</v>
      </c>
      <c r="AM279" s="10" t="str">
        <f t="shared" si="57"/>
        <v>8B</v>
      </c>
      <c r="AO279" s="2" t="s">
        <v>10</v>
      </c>
      <c r="AT279" s="11">
        <f t="shared" si="58"/>
        <v>278</v>
      </c>
      <c r="AU279" s="12" t="str">
        <f t="shared" si="59"/>
        <v/>
      </c>
    </row>
    <row r="280" spans="15:47" ht="18" customHeight="1">
      <c r="O280" s="2" t="str">
        <f t="shared" si="60"/>
        <v>曲データ＆デモ用サブルーチン</v>
      </c>
      <c r="X280" s="7" t="str">
        <f t="shared" si="52"/>
        <v>C5B0</v>
      </c>
      <c r="Y280" s="19"/>
      <c r="Z280" s="9" t="str">
        <f t="shared" si="53"/>
        <v>:00</v>
      </c>
      <c r="AB280" s="6">
        <f t="shared" si="54"/>
        <v>8</v>
      </c>
      <c r="AC280" s="6">
        <f t="shared" si="55"/>
        <v>197</v>
      </c>
      <c r="AD280" s="6">
        <f t="shared" si="56"/>
        <v>176</v>
      </c>
      <c r="AE280" s="9">
        <f t="shared" si="61"/>
        <v>0</v>
      </c>
      <c r="AF280" s="9">
        <f t="shared" si="61"/>
        <v>0</v>
      </c>
      <c r="AG280" s="9">
        <f t="shared" si="61"/>
        <v>0</v>
      </c>
      <c r="AH280" s="9">
        <f t="shared" si="61"/>
        <v>0</v>
      </c>
      <c r="AI280" s="9">
        <f t="shared" si="61"/>
        <v>0</v>
      </c>
      <c r="AJ280" s="9">
        <f t="shared" si="61"/>
        <v>0</v>
      </c>
      <c r="AK280" s="9">
        <f t="shared" si="61"/>
        <v>0</v>
      </c>
      <c r="AL280" s="9">
        <f t="shared" si="61"/>
        <v>0</v>
      </c>
      <c r="AM280" s="10" t="str">
        <f t="shared" si="57"/>
        <v>83</v>
      </c>
      <c r="AO280" s="2" t="s">
        <v>10</v>
      </c>
      <c r="AT280" s="11">
        <f t="shared" si="58"/>
        <v>279</v>
      </c>
      <c r="AU280" s="12" t="str">
        <f t="shared" si="59"/>
        <v/>
      </c>
    </row>
    <row r="281" spans="15:47" ht="18" customHeight="1">
      <c r="O281" s="2" t="str">
        <f t="shared" si="60"/>
        <v>曲データ＆デモ用サブルーチン</v>
      </c>
      <c r="X281" s="7" t="str">
        <f t="shared" si="52"/>
        <v>C5B8</v>
      </c>
      <c r="Y281" s="19"/>
      <c r="Z281" s="9" t="str">
        <f t="shared" si="53"/>
        <v>:00</v>
      </c>
      <c r="AB281" s="6">
        <f t="shared" si="54"/>
        <v>8</v>
      </c>
      <c r="AC281" s="6">
        <f t="shared" si="55"/>
        <v>197</v>
      </c>
      <c r="AD281" s="6">
        <f t="shared" si="56"/>
        <v>184</v>
      </c>
      <c r="AE281" s="9">
        <f t="shared" si="61"/>
        <v>0</v>
      </c>
      <c r="AF281" s="9">
        <f t="shared" si="61"/>
        <v>0</v>
      </c>
      <c r="AG281" s="9">
        <f t="shared" si="61"/>
        <v>0</v>
      </c>
      <c r="AH281" s="9">
        <f t="shared" si="61"/>
        <v>0</v>
      </c>
      <c r="AI281" s="9">
        <f t="shared" si="61"/>
        <v>0</v>
      </c>
      <c r="AJ281" s="9">
        <f t="shared" si="61"/>
        <v>0</v>
      </c>
      <c r="AK281" s="9">
        <f t="shared" si="61"/>
        <v>0</v>
      </c>
      <c r="AL281" s="9">
        <f t="shared" si="61"/>
        <v>0</v>
      </c>
      <c r="AM281" s="10" t="str">
        <f t="shared" si="57"/>
        <v>7B</v>
      </c>
      <c r="AO281" s="2" t="s">
        <v>10</v>
      </c>
      <c r="AT281" s="11">
        <f t="shared" si="58"/>
        <v>280</v>
      </c>
      <c r="AU281" s="12" t="str">
        <f t="shared" si="59"/>
        <v/>
      </c>
    </row>
    <row r="282" spans="15:47" ht="18" customHeight="1">
      <c r="O282" s="2" t="str">
        <f t="shared" si="60"/>
        <v>曲データ＆デモ用サブルーチン</v>
      </c>
      <c r="X282" s="7" t="str">
        <f t="shared" si="52"/>
        <v>C5C0</v>
      </c>
      <c r="Y282" s="19"/>
      <c r="Z282" s="9" t="str">
        <f t="shared" si="53"/>
        <v>:00</v>
      </c>
      <c r="AB282" s="6">
        <f t="shared" si="54"/>
        <v>8</v>
      </c>
      <c r="AC282" s="6">
        <f t="shared" si="55"/>
        <v>197</v>
      </c>
      <c r="AD282" s="6">
        <f t="shared" si="56"/>
        <v>192</v>
      </c>
      <c r="AE282" s="9">
        <f t="shared" si="61"/>
        <v>0</v>
      </c>
      <c r="AF282" s="9">
        <f t="shared" si="61"/>
        <v>0</v>
      </c>
      <c r="AG282" s="9">
        <f t="shared" si="61"/>
        <v>0</v>
      </c>
      <c r="AH282" s="9">
        <f t="shared" si="61"/>
        <v>0</v>
      </c>
      <c r="AI282" s="9">
        <f t="shared" si="61"/>
        <v>0</v>
      </c>
      <c r="AJ282" s="9">
        <f t="shared" si="61"/>
        <v>0</v>
      </c>
      <c r="AK282" s="9">
        <f t="shared" si="61"/>
        <v>0</v>
      </c>
      <c r="AL282" s="9">
        <f t="shared" si="61"/>
        <v>0</v>
      </c>
      <c r="AM282" s="10" t="str">
        <f t="shared" si="57"/>
        <v>73</v>
      </c>
      <c r="AO282" s="2" t="s">
        <v>10</v>
      </c>
      <c r="AT282" s="11">
        <f t="shared" si="58"/>
        <v>281</v>
      </c>
      <c r="AU282" s="12" t="str">
        <f t="shared" si="59"/>
        <v/>
      </c>
    </row>
    <row r="283" spans="15:47" ht="18" customHeight="1" thickBot="1">
      <c r="O283" s="2" t="str">
        <f t="shared" si="60"/>
        <v>曲データ＆デモ用サブルーチン</v>
      </c>
      <c r="X283" s="7" t="str">
        <f t="shared" si="52"/>
        <v>C5C8</v>
      </c>
      <c r="Y283" s="20"/>
      <c r="Z283" s="9" t="str">
        <f t="shared" si="53"/>
        <v>:00</v>
      </c>
      <c r="AB283" s="6">
        <f t="shared" si="54"/>
        <v>8</v>
      </c>
      <c r="AC283" s="6">
        <f t="shared" si="55"/>
        <v>197</v>
      </c>
      <c r="AD283" s="6">
        <f t="shared" si="56"/>
        <v>200</v>
      </c>
      <c r="AE283" s="9">
        <f t="shared" si="61"/>
        <v>0</v>
      </c>
      <c r="AF283" s="9">
        <f t="shared" si="61"/>
        <v>0</v>
      </c>
      <c r="AG283" s="9">
        <f t="shared" si="61"/>
        <v>0</v>
      </c>
      <c r="AH283" s="9">
        <f t="shared" si="61"/>
        <v>0</v>
      </c>
      <c r="AI283" s="9">
        <f t="shared" si="61"/>
        <v>0</v>
      </c>
      <c r="AJ283" s="9">
        <f t="shared" si="61"/>
        <v>0</v>
      </c>
      <c r="AK283" s="9">
        <f t="shared" si="61"/>
        <v>0</v>
      </c>
      <c r="AL283" s="9">
        <f t="shared" si="61"/>
        <v>0</v>
      </c>
      <c r="AM283" s="10" t="str">
        <f t="shared" si="57"/>
        <v>6B</v>
      </c>
      <c r="AO283" s="2" t="s">
        <v>10</v>
      </c>
      <c r="AT283" s="11">
        <f t="shared" si="58"/>
        <v>282</v>
      </c>
      <c r="AU283" s="12" t="str">
        <f t="shared" si="59"/>
        <v/>
      </c>
    </row>
    <row r="284" spans="15:47" ht="18" customHeight="1">
      <c r="AO284" s="2" t="s">
        <v>30</v>
      </c>
      <c r="AU284" s="12" t="str">
        <f>":00000001FF"</f>
        <v>:00000001FF</v>
      </c>
    </row>
  </sheetData>
  <mergeCells count="35">
    <mergeCell ref="A19:J19"/>
    <mergeCell ref="K19:L19"/>
    <mergeCell ref="B21:J21"/>
    <mergeCell ref="B22:J22"/>
    <mergeCell ref="B23:J23"/>
    <mergeCell ref="A16:J16"/>
    <mergeCell ref="K16:L16"/>
    <mergeCell ref="A17:J17"/>
    <mergeCell ref="K17:L17"/>
    <mergeCell ref="A18:J18"/>
    <mergeCell ref="K18:L18"/>
    <mergeCell ref="A13:J13"/>
    <mergeCell ref="K13:L13"/>
    <mergeCell ref="A14:J14"/>
    <mergeCell ref="K14:L14"/>
    <mergeCell ref="A15:J15"/>
    <mergeCell ref="K15:L15"/>
    <mergeCell ref="A10:J10"/>
    <mergeCell ref="K10:L10"/>
    <mergeCell ref="A11:J11"/>
    <mergeCell ref="K11:L11"/>
    <mergeCell ref="A12:J12"/>
    <mergeCell ref="K12:L12"/>
    <mergeCell ref="A7:J7"/>
    <mergeCell ref="K7:L7"/>
    <mergeCell ref="A8:J8"/>
    <mergeCell ref="K8:L8"/>
    <mergeCell ref="A9:J9"/>
    <mergeCell ref="K9:L9"/>
    <mergeCell ref="A2:D2"/>
    <mergeCell ref="E2:F2"/>
    <mergeCell ref="A3:D3"/>
    <mergeCell ref="E3:F3"/>
    <mergeCell ref="A4:D4"/>
    <mergeCell ref="E4:F4"/>
  </mergeCells>
  <phoneticPr fontId="2"/>
  <pageMargins left="0.7" right="0.7" top="0.75" bottom="0.75" header="0.3" footer="0.3"/>
  <pageSetup paperSize="9" orientation="portrait" horizontalDpi="0" verticalDpi="0"/>
  <ignoredErrors>
    <ignoredError sqref="Y2:Y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入力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2026-09-26T12:36:14Z</dcterms:created>
  <dcterms:modified xsi:type="dcterms:W3CDTF">2026-09-26T12:49:56Z</dcterms:modified>
  <cp:category/>
</cp:coreProperties>
</file>